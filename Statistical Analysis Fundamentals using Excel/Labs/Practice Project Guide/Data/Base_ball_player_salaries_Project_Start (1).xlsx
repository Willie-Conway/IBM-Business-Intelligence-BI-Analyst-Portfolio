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16b587ac2706cb/Documents/Work/Skillup/Bi Course 4/Project/New folder/"/>
    </mc:Choice>
  </mc:AlternateContent>
  <xr:revisionPtr revIDLastSave="0" documentId="8_{B71F0BF7-B6FC-4188-9B8D-6596AD6AF94C}" xr6:coauthVersionLast="47" xr6:coauthVersionMax="47" xr10:uidLastSave="{00000000-0000-0000-0000-000000000000}"/>
  <bookViews>
    <workbookView xWindow="-108" yWindow="-108" windowWidth="23256" windowHeight="12576" firstSheet="2" activeTab="1" xr2:uid="{00000000-000D-0000-FFFF-FFFF00000000}"/>
  </bookViews>
  <sheets>
    <sheet name="Teams_average_salaries" sheetId="2" r:id="rId1"/>
    <sheet name="Positions_average_salaries" sheetId="3" r:id="rId2"/>
    <sheet name="Salaries_2023" sheetId="1" r:id="rId3"/>
  </sheets>
  <definedNames>
    <definedName name="_xlchart.v1.0" hidden="1">Salaries_2023!$F$2:$F$878</definedName>
  </definedNames>
  <calcPr calcId="191028"/>
  <pivotCaches>
    <pivotCache cacheId="86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7" i="1"/>
  <c r="J21" i="1"/>
  <c r="J20" i="1"/>
  <c r="J14" i="1"/>
  <c r="J13" i="1"/>
  <c r="J7" i="1"/>
  <c r="J6" i="1"/>
  <c r="J5" i="1"/>
  <c r="F5" i="3"/>
  <c r="F5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50" i="1"/>
  <c r="E551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60" i="1"/>
  <c r="E862" i="1"/>
  <c r="E863" i="1"/>
  <c r="E865" i="1"/>
  <c r="E866" i="1"/>
  <c r="E868" i="1"/>
  <c r="E869" i="1"/>
  <c r="E870" i="1"/>
  <c r="E872" i="1"/>
  <c r="E873" i="1"/>
</calcChain>
</file>

<file path=xl/sharedStrings.xml><?xml version="1.0" encoding="utf-8"?>
<sst xmlns="http://schemas.openxmlformats.org/spreadsheetml/2006/main" count="2733" uniqueCount="970">
  <si>
    <t>Team</t>
  </si>
  <si>
    <t>Average of Salary</t>
  </si>
  <si>
    <t>Arizona Diamondbacks</t>
  </si>
  <si>
    <t>Atlanta Braves</t>
  </si>
  <si>
    <t>Maximum Average Salary: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</si>
  <si>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</si>
  <si>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</si>
  <si>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</si>
  <si>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</si>
  <si>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</si>
  <si>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</si>
  <si>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</si>
  <si>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</si>
  <si>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</si>
  <si>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</si>
  <si>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</si>
  <si>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</si>
  <si>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Los Vegas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</si>
  <si>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</si>
  <si>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</si>
  <si>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</si>
  <si>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</si>
  <si>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</si>
  <si>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</si>
  <si>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</si>
  <si>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</si>
  <si>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</si>
  <si>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</si>
  <si>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</si>
  <si>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</si>
  <si>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</si>
  <si>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</si>
  <si>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</si>
  <si>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</si>
  <si>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Grand Total</t>
  </si>
  <si>
    <t>Position</t>
  </si>
  <si>
    <t>Catcher</t>
  </si>
  <si>
    <t>Designated Hitter</t>
  </si>
  <si>
    <t>First Baseman</t>
  </si>
  <si>
    <t>Outfielder</t>
  </si>
  <si>
    <t>Pitcher</t>
  </si>
  <si>
    <t>Second Baseman</t>
  </si>
  <si>
    <t>Shortstop</t>
  </si>
  <si>
    <t>Third Baseman</t>
  </si>
  <si>
    <t>Name</t>
  </si>
  <si>
    <t>Playing Experience with Current Team (years)</t>
  </si>
  <si>
    <t>Total Years of Experience</t>
  </si>
  <si>
    <t>Salary</t>
  </si>
  <si>
    <t>Mike Trout</t>
  </si>
  <si>
    <t>Measures of central tendency</t>
  </si>
  <si>
    <t>SUMMARY OUTPUT</t>
  </si>
  <si>
    <t>Clayton Kershaw</t>
  </si>
  <si>
    <t xml:space="preserve">Calculate the mean, median, and mode of the salaries. 
 </t>
  </si>
  <si>
    <t>Zack Greinke</t>
  </si>
  <si>
    <t>Regression Statistics</t>
  </si>
  <si>
    <t>Miguel Cabrera</t>
  </si>
  <si>
    <t>Mean</t>
  </si>
  <si>
    <t>Multiple R</t>
  </si>
  <si>
    <t>David Price</t>
  </si>
  <si>
    <t>Median</t>
  </si>
  <si>
    <t>R Square</t>
  </si>
  <si>
    <t>Jake Arrieta</t>
  </si>
  <si>
    <t>Mode</t>
  </si>
  <si>
    <t>Adjusted R Square</t>
  </si>
  <si>
    <t>Yoenis Cespedes</t>
  </si>
  <si>
    <t>Standard Error</t>
  </si>
  <si>
    <t>Justin Verlander</t>
  </si>
  <si>
    <t>Observations</t>
  </si>
  <si>
    <t>Jon Lester</t>
  </si>
  <si>
    <t>Measures of dispersion</t>
  </si>
  <si>
    <t>Albert Pujols</t>
  </si>
  <si>
    <t xml:space="preserve">Calculate the variance and standard deviation of the salaries. 
 </t>
  </si>
  <si>
    <t>ANOVA</t>
  </si>
  <si>
    <t>Felix Hernandez</t>
  </si>
  <si>
    <t>df</t>
  </si>
  <si>
    <t>SS</t>
  </si>
  <si>
    <t>MS</t>
  </si>
  <si>
    <t>F</t>
  </si>
  <si>
    <t>Significance F</t>
  </si>
  <si>
    <t>Jason Heyward</t>
  </si>
  <si>
    <t>Variance</t>
  </si>
  <si>
    <t>Regression</t>
  </si>
  <si>
    <t>Giancarlo Stanton</t>
  </si>
  <si>
    <t>Standard deviation</t>
  </si>
  <si>
    <t>Residual</t>
  </si>
  <si>
    <t>Joey Votto</t>
  </si>
  <si>
    <t>Total</t>
  </si>
  <si>
    <t>Yu Darvish</t>
  </si>
  <si>
    <t>Robinson Cano</t>
  </si>
  <si>
    <t>Minimum and maximum</t>
  </si>
  <si>
    <t>Coefficients</t>
  </si>
  <si>
    <t>t Stat</t>
  </si>
  <si>
    <t>P-value</t>
  </si>
  <si>
    <t>Lower 95%</t>
  </si>
  <si>
    <t>Upper 95%</t>
  </si>
  <si>
    <t>Jordan Zimmermann</t>
  </si>
  <si>
    <t xml:space="preserve">Calculate the minimum salary and maximum salary
 </t>
  </si>
  <si>
    <t>Intercept</t>
  </si>
  <si>
    <t>J.D. Martinez</t>
  </si>
  <si>
    <t>Joe Mauer</t>
  </si>
  <si>
    <t>Minimum</t>
  </si>
  <si>
    <t>Josh Donaldson</t>
  </si>
  <si>
    <t>Maximum</t>
  </si>
  <si>
    <t>Hanley Ramirez</t>
  </si>
  <si>
    <t>Johnny Cueto</t>
  </si>
  <si>
    <t>Cole Hamels</t>
  </si>
  <si>
    <t>Quartiles and percentiles</t>
  </si>
  <si>
    <t>Adrian Gonzalez</t>
  </si>
  <si>
    <t>Calculate the quartiles and percentiles of the salaries</t>
  </si>
  <si>
    <t>Buster Posey</t>
  </si>
  <si>
    <t>Max Scherzer</t>
  </si>
  <si>
    <t>Q1</t>
  </si>
  <si>
    <t>Masahiro Tanaka</t>
  </si>
  <si>
    <t>Q2</t>
  </si>
  <si>
    <t>Ian Desmond</t>
  </si>
  <si>
    <t>Q3</t>
  </si>
  <si>
    <t>Yadier Molina</t>
  </si>
  <si>
    <t>P01</t>
  </si>
  <si>
    <t>Jacoby Ellsbury</t>
  </si>
  <si>
    <t>P05</t>
  </si>
  <si>
    <t>Eric Hosmer</t>
  </si>
  <si>
    <t>P50</t>
  </si>
  <si>
    <t>Bryce Harper</t>
  </si>
  <si>
    <t>P75</t>
  </si>
  <si>
    <t>Matt Kemp</t>
  </si>
  <si>
    <t>P95</t>
  </si>
  <si>
    <t>Freddie Freeman</t>
  </si>
  <si>
    <t>P99</t>
  </si>
  <si>
    <t>James Shields</t>
  </si>
  <si>
    <t>Chris Davis</t>
  </si>
  <si>
    <t>Rick Porcello</t>
  </si>
  <si>
    <t>Homer Bailey</t>
  </si>
  <si>
    <t>Alex Gordon</t>
  </si>
  <si>
    <t>Troy Tulowitzki</t>
  </si>
  <si>
    <t>Shin-Soo Choo</t>
  </si>
  <si>
    <t>Russell Martin</t>
  </si>
  <si>
    <t>Jeff Samardzija</t>
  </si>
  <si>
    <t>Pablo Sandoval</t>
  </si>
  <si>
    <t>Adam Wainwright</t>
  </si>
  <si>
    <t>David Wright</t>
  </si>
  <si>
    <t>Ryan Braun</t>
  </si>
  <si>
    <t>Kyle Seager</t>
  </si>
  <si>
    <t>Hunter Pence</t>
  </si>
  <si>
    <t>Edwin Encarnacion</t>
  </si>
  <si>
    <t>Carlos Santana</t>
  </si>
  <si>
    <t>Mike Leake</t>
  </si>
  <si>
    <t>Victor Martinez</t>
  </si>
  <si>
    <t>Adrian Beltre</t>
  </si>
  <si>
    <t>Nolan Arenado</t>
  </si>
  <si>
    <t>Justin Upton</t>
  </si>
  <si>
    <t>Daniel Murphy</t>
  </si>
  <si>
    <t>Adam Jones</t>
  </si>
  <si>
    <t>Aroldis Chapman</t>
  </si>
  <si>
    <t>Brandon Belt</t>
  </si>
  <si>
    <t>Brian McCann</t>
  </si>
  <si>
    <t>Rich Hill</t>
  </si>
  <si>
    <t>Dexter Fowler</t>
  </si>
  <si>
    <t>Ben Zobrist</t>
  </si>
  <si>
    <t>Stephen Strasburg</t>
  </si>
  <si>
    <t>Wade Davis</t>
  </si>
  <si>
    <t>Ian Kennedy</t>
  </si>
  <si>
    <t>Manny Machado</t>
  </si>
  <si>
    <t>Dustin Pedroia</t>
  </si>
  <si>
    <t>Elvis Andrus</t>
  </si>
  <si>
    <t>Brandon Crawford</t>
  </si>
  <si>
    <t>Mark Melancon</t>
  </si>
  <si>
    <t>Andrew McCutchen</t>
  </si>
  <si>
    <t>Evan Longoria</t>
  </si>
  <si>
    <t>Ryan Zimmerman</t>
  </si>
  <si>
    <t>Nelson Cruz</t>
  </si>
  <si>
    <t>Matt Carpenter</t>
  </si>
  <si>
    <t>Lorenzo Cain</t>
  </si>
  <si>
    <t>Danny Duffy</t>
  </si>
  <si>
    <t>Alex Cobb</t>
  </si>
  <si>
    <t>Charlie Blackmon</t>
  </si>
  <si>
    <t>Craig Kimbrel</t>
  </si>
  <si>
    <t>Jason Kipnis</t>
  </si>
  <si>
    <t>Ervin Santana</t>
  </si>
  <si>
    <t>Martin Prado</t>
  </si>
  <si>
    <t>Phil Hughes</t>
  </si>
  <si>
    <t>Dallas Keuchel</t>
  </si>
  <si>
    <t>Devin Mesoraco</t>
  </si>
  <si>
    <t>Chase Headley</t>
  </si>
  <si>
    <t>Josh Reddick</t>
  </si>
  <si>
    <t>David Robertson</t>
  </si>
  <si>
    <t>J.A. Happ</t>
  </si>
  <si>
    <t>Jose Abreu</t>
  </si>
  <si>
    <t>Marco Estrada</t>
  </si>
  <si>
    <t>Zack Cozart</t>
  </si>
  <si>
    <t>Tyler Chatwood</t>
  </si>
  <si>
    <t>Chris Sale</t>
  </si>
  <si>
    <t>Denard Span</t>
  </si>
  <si>
    <t>Anthony Rendon</t>
  </si>
  <si>
    <t>Mark Trumbo</t>
  </si>
  <si>
    <t>Justin Turner</t>
  </si>
  <si>
    <t>Brett Gardner</t>
  </si>
  <si>
    <t>Yulieski Gurriel</t>
  </si>
  <si>
    <t>George Springer</t>
  </si>
  <si>
    <t>Gio Gonzalez</t>
  </si>
  <si>
    <t>Lance Lynn</t>
  </si>
  <si>
    <t>Madison Bumgarner</t>
  </si>
  <si>
    <t>Michael Brantley</t>
  </si>
  <si>
    <t>Zach Britton</t>
  </si>
  <si>
    <t>Carlos Martinez</t>
  </si>
  <si>
    <t>Brandon McCarthy</t>
  </si>
  <si>
    <t>Paul Goldschmidt</t>
  </si>
  <si>
    <t>Starlin Castro</t>
  </si>
  <si>
    <t>Andrelton Simmons</t>
  </si>
  <si>
    <t>Dee Gordon</t>
  </si>
  <si>
    <t>Nick Markakis</t>
  </si>
  <si>
    <t>Jay Bruce</t>
  </si>
  <si>
    <t>Kendrys Morales</t>
  </si>
  <si>
    <t>Ian Kinsler</t>
  </si>
  <si>
    <t>Kris Bryant</t>
  </si>
  <si>
    <t>Kenley Jansen</t>
  </si>
  <si>
    <t>Corey Kluber</t>
  </si>
  <si>
    <t>Cody Allen</t>
  </si>
  <si>
    <t>Francisco Cervelli</t>
  </si>
  <si>
    <t>Josh Harrison</t>
  </si>
  <si>
    <t>Brandon Morrow</t>
  </si>
  <si>
    <t>Khris Davis</t>
  </si>
  <si>
    <t>Matt Wieters</t>
  </si>
  <si>
    <t>Mookie Betts</t>
  </si>
  <si>
    <t>Wei-Yin Chen</t>
  </si>
  <si>
    <t>Gerardo Parra</t>
  </si>
  <si>
    <t>Jason Hammel</t>
  </si>
  <si>
    <t>CC Sabathia</t>
  </si>
  <si>
    <t>Jaime Garcia</t>
  </si>
  <si>
    <t>Jean Segura</t>
  </si>
  <si>
    <t>Joakim Soria</t>
  </si>
  <si>
    <t>Matt Moore</t>
  </si>
  <si>
    <t>AJ Ramos</t>
  </si>
  <si>
    <t>Yasiel Puig</t>
  </si>
  <si>
    <t>Ivan Nova</t>
  </si>
  <si>
    <t>Jedd Gyorko</t>
  </si>
  <si>
    <t>Jose Altuve</t>
  </si>
  <si>
    <t>Andrew Miller</t>
  </si>
  <si>
    <t>Brian Dozier</t>
  </si>
  <si>
    <t>Tommy Hunter</t>
  </si>
  <si>
    <t>Brad Ziegler</t>
  </si>
  <si>
    <t>Logan Forsythe</t>
  </si>
  <si>
    <t>Marcell Ozuna</t>
  </si>
  <si>
    <t>Darren O'Day</t>
  </si>
  <si>
    <t>Jose Quintana</t>
  </si>
  <si>
    <t>Kole Calhoun</t>
  </si>
  <si>
    <t>Carlos Carrasco</t>
  </si>
  <si>
    <t>Jhoulys Chacin</t>
  </si>
  <si>
    <t>Salvador Perez</t>
  </si>
  <si>
    <t>Wilson Ramos</t>
  </si>
  <si>
    <t>DJ LeMahieu</t>
  </si>
  <si>
    <t>Drew Pomeranz</t>
  </si>
  <si>
    <t>Jonathan Schoop</t>
  </si>
  <si>
    <t>Mike Minor</t>
  </si>
  <si>
    <t>Addison Reed</t>
  </si>
  <si>
    <t>Luis Valbuena</t>
  </si>
  <si>
    <t>Asdrubal Cabrera</t>
  </si>
  <si>
    <t>Didi Gregorius</t>
  </si>
  <si>
    <t>Julio Teheran</t>
  </si>
  <si>
    <t>Starling Marte</t>
  </si>
  <si>
    <t>Bryan Shaw</t>
  </si>
  <si>
    <t>Pat Neshek</t>
  </si>
  <si>
    <t>Jason Castro</t>
  </si>
  <si>
    <t>Todd Frazier</t>
  </si>
  <si>
    <t>Kelvin Herrera</t>
  </si>
  <si>
    <t>Jeurys Familia</t>
  </si>
  <si>
    <t>Yasmani Grandal</t>
  </si>
  <si>
    <t>Hyun-Jin Ryu</t>
  </si>
  <si>
    <t>Brett Cecil</t>
  </si>
  <si>
    <t>Juan Nicasio</t>
  </si>
  <si>
    <t>A.J. Pollock</t>
  </si>
  <si>
    <t>Ryan Madson</t>
  </si>
  <si>
    <t>Jake McGee</t>
  </si>
  <si>
    <t>Yonder Alonso</t>
  </si>
  <si>
    <t>Miles Mikolas</t>
  </si>
  <si>
    <t>Welington Castillo</t>
  </si>
  <si>
    <t>Patrick Corbin</t>
  </si>
  <si>
    <t>Jacob deGrom</t>
  </si>
  <si>
    <t>Mike Dunn</t>
  </si>
  <si>
    <t>Garrett Richards</t>
  </si>
  <si>
    <t>Anthony Rizzo</t>
  </si>
  <si>
    <t>Xander Bogaerts</t>
  </si>
  <si>
    <t>Christian Yelich</t>
  </si>
  <si>
    <t>Jason Vargas</t>
  </si>
  <si>
    <t>Joe Smith</t>
  </si>
  <si>
    <t>Charlie Morton</t>
  </si>
  <si>
    <t>Junichi Tazawa</t>
  </si>
  <si>
    <t>Adam Ottavino</t>
  </si>
  <si>
    <t>Jerry Blevins</t>
  </si>
  <si>
    <t>Freddy Galvis</t>
  </si>
  <si>
    <t>Gerrit Cole</t>
  </si>
  <si>
    <t>Jordy Mercer</t>
  </si>
  <si>
    <t>Avisail Garcia</t>
  </si>
  <si>
    <t>Evan Gattis</t>
  </si>
  <si>
    <t>Trevor Bauer</t>
  </si>
  <si>
    <t>Juan Lagares</t>
  </si>
  <si>
    <t>Mitch Moreland</t>
  </si>
  <si>
    <t>Steve Cishek</t>
  </si>
  <si>
    <t>Jonathan Lucroy</t>
  </si>
  <si>
    <t>Logan Morrison</t>
  </si>
  <si>
    <t>Marcus Stroman</t>
  </si>
  <si>
    <t>Mike Moustakas</t>
  </si>
  <si>
    <t>Sonny Gray</t>
  </si>
  <si>
    <t>Tanner Roark</t>
  </si>
  <si>
    <t>Chris Archer</t>
  </si>
  <si>
    <t>Andrew Cashner</t>
  </si>
  <si>
    <t>Adam Eaton</t>
  </si>
  <si>
    <t>Jake Odorizzi</t>
  </si>
  <si>
    <t>Jose Iglesias</t>
  </si>
  <si>
    <t>Steve Pearce</t>
  </si>
  <si>
    <t>Jackie Bradley Jr.</t>
  </si>
  <si>
    <t>Kevin Kiermaier</t>
  </si>
  <si>
    <t>Nicholas Castellanos</t>
  </si>
  <si>
    <t>Yan Gomes</t>
  </si>
  <si>
    <t>Tony Sipp</t>
  </si>
  <si>
    <t>Santiago Casilla</t>
  </si>
  <si>
    <t>Alex Wood</t>
  </si>
  <si>
    <t>Eduardo Nunez</t>
  </si>
  <si>
    <t>Jed Lowrie</t>
  </si>
  <si>
    <t>Martin Perez</t>
  </si>
  <si>
    <t>Matt Joyce</t>
  </si>
  <si>
    <t>Mike Fiers</t>
  </si>
  <si>
    <t>Corey Dickerson</t>
  </si>
  <si>
    <t>Adeiny Hechavarria</t>
  </si>
  <si>
    <t>Pedro Strop</t>
  </si>
  <si>
    <t>Sean Rodriguez</t>
  </si>
  <si>
    <t>Scooter Gennett</t>
  </si>
  <si>
    <t>Matt Harvey</t>
  </si>
  <si>
    <t>Kevin Gausman</t>
  </si>
  <si>
    <t>Lonnie Chisenhall</t>
  </si>
  <si>
    <t>David Phelps</t>
  </si>
  <si>
    <t>Shawn Kelley</t>
  </si>
  <si>
    <t>Anthony Swarzak</t>
  </si>
  <si>
    <t>Luke Gregerson</t>
  </si>
  <si>
    <t>Marc Rzepczynski</t>
  </si>
  <si>
    <t>Eric Thames</t>
  </si>
  <si>
    <t>Alex Colome</t>
  </si>
  <si>
    <t>Michael Wacha</t>
  </si>
  <si>
    <t>Roberto Osuna</t>
  </si>
  <si>
    <t>Raisel Iglesias</t>
  </si>
  <si>
    <t>Brad Brach</t>
  </si>
  <si>
    <t>Marwin Gonzalez</t>
  </si>
  <si>
    <t>Cesar Hernandez</t>
  </si>
  <si>
    <t>Dellin Betances</t>
  </si>
  <si>
    <t>Chase Anderson</t>
  </si>
  <si>
    <t>Jim Johnson</t>
  </si>
  <si>
    <t>Brandon Kintzler</t>
  </si>
  <si>
    <t>Carlos Gonzalez</t>
  </si>
  <si>
    <t>Collin McHugh</t>
  </si>
  <si>
    <t>Curtis Granderson</t>
  </si>
  <si>
    <t>Danny Salazar</t>
  </si>
  <si>
    <t>James Paxton</t>
  </si>
  <si>
    <t>Shelby Miller</t>
  </si>
  <si>
    <t>Eduardo Escobar</t>
  </si>
  <si>
    <t>Taijuan Walker</t>
  </si>
  <si>
    <t>Miguel Gonzalez</t>
  </si>
  <si>
    <t>Gregory Polanco</t>
  </si>
  <si>
    <t>Ender Inciarte</t>
  </si>
  <si>
    <t>Wil Myers</t>
  </si>
  <si>
    <t>Jorge Soler</t>
  </si>
  <si>
    <t>Billy Hamilton</t>
  </si>
  <si>
    <t>Ken Giles</t>
  </si>
  <si>
    <t>David Freese</t>
  </si>
  <si>
    <t>Brad Miller</t>
  </si>
  <si>
    <t>Fernando Rodney</t>
  </si>
  <si>
    <t>Sean Doolittle</t>
  </si>
  <si>
    <t>Tucker Barnhart</t>
  </si>
  <si>
    <t>Sam Dyson</t>
  </si>
  <si>
    <t>Brad Hand</t>
  </si>
  <si>
    <t>Jake Lamb</t>
  </si>
  <si>
    <t>Justin Smoak</t>
  </si>
  <si>
    <t>Justin Wilson</t>
  </si>
  <si>
    <t>Kolten Wong</t>
  </si>
  <si>
    <t>Erasmo Ramirez</t>
  </si>
  <si>
    <t>Kyle Gibson</t>
  </si>
  <si>
    <t>Kyle Hendricks</t>
  </si>
  <si>
    <t>Yangervis Solarte</t>
  </si>
  <si>
    <t>Matt Shoemaker</t>
  </si>
  <si>
    <t>Yusmeiro Petit</t>
  </si>
  <si>
    <t>Hector Rondon</t>
  </si>
  <si>
    <t>Alex Avila</t>
  </si>
  <si>
    <t>Carlos Gomez</t>
  </si>
  <si>
    <t>Doug Fister</t>
  </si>
  <si>
    <t>Francisco Liriano</t>
  </si>
  <si>
    <t>Matt Adams</t>
  </si>
  <si>
    <t>Neil Walker</t>
  </si>
  <si>
    <t>Tyler Flowers</t>
  </si>
  <si>
    <t>Chris Iannetta</t>
  </si>
  <si>
    <t>Nate Jones</t>
  </si>
  <si>
    <t>Robbie Ray</t>
  </si>
  <si>
    <t>Martin Maldonado</t>
  </si>
  <si>
    <t>Joe Kelly</t>
  </si>
  <si>
    <t>Jarrod Dyson</t>
  </si>
  <si>
    <t>Jimmy Nelson</t>
  </si>
  <si>
    <t>Corey Knebel</t>
  </si>
  <si>
    <t>Odubel Herrera</t>
  </si>
  <si>
    <t>Steven Souza Jr.</t>
  </si>
  <si>
    <t>Brian Duensing</t>
  </si>
  <si>
    <t>Kurt Suzuki</t>
  </si>
  <si>
    <t>Lucas Duda</t>
  </si>
  <si>
    <t>Travis d'Arnaud</t>
  </si>
  <si>
    <t>Joe Panik</t>
  </si>
  <si>
    <t>Arodys Vizcaino</t>
  </si>
  <si>
    <t>Chris Owings</t>
  </si>
  <si>
    <t>Justin Bour</t>
  </si>
  <si>
    <t>Wilmer Flores</t>
  </si>
  <si>
    <t>Dan Straily</t>
  </si>
  <si>
    <t>Tim Beckham</t>
  </si>
  <si>
    <t>Rougned Odor</t>
  </si>
  <si>
    <t>Adam Warren</t>
  </si>
  <si>
    <t>David Peralta</t>
  </si>
  <si>
    <t>Felipe Rivero</t>
  </si>
  <si>
    <t>Tony Watson</t>
  </si>
  <si>
    <t>Cameron Maybin</t>
  </si>
  <si>
    <t>Kevin Pillar</t>
  </si>
  <si>
    <t>Addison Russell</t>
  </si>
  <si>
    <t>Kenta Maeda</t>
  </si>
  <si>
    <t>Marcus Semien</t>
  </si>
  <si>
    <t>Stephen Vogt</t>
  </si>
  <si>
    <t>Jung-ho Kang</t>
  </si>
  <si>
    <t>Drew Smyly</t>
  </si>
  <si>
    <t>Howie Kendrick</t>
  </si>
  <si>
    <t>Austin Jackson</t>
  </si>
  <si>
    <t>Clayton Richard</t>
  </si>
  <si>
    <t>Bud Norris</t>
  </si>
  <si>
    <t>Chris Tillman</t>
  </si>
  <si>
    <t>Colby Rasmus</t>
  </si>
  <si>
    <t>Drew Hutchison</t>
  </si>
  <si>
    <t>Jon Jay</t>
  </si>
  <si>
    <t>Josh Tomlin</t>
  </si>
  <si>
    <t>Mike Zunino</t>
  </si>
  <si>
    <t>Noah Syndergaard</t>
  </si>
  <si>
    <t>Brandon Maurer</t>
  </si>
  <si>
    <t>Maikel Franco</t>
  </si>
  <si>
    <t>Eugenio Suarez</t>
  </si>
  <si>
    <t>Derek Dietrich</t>
  </si>
  <si>
    <t>J.T. Realmuto</t>
  </si>
  <si>
    <t>Shohei Ohtani</t>
  </si>
  <si>
    <t>Jose Ramirez</t>
  </si>
  <si>
    <t>Aaron Hicks</t>
  </si>
  <si>
    <t>Will Harris</t>
  </si>
  <si>
    <t>Rene Rivera</t>
  </si>
  <si>
    <t>Yoshihisa Hirano</t>
  </si>
  <si>
    <t>Brandon Guyer</t>
  </si>
  <si>
    <t>Nick Vincent</t>
  </si>
  <si>
    <t>George Kontos</t>
  </si>
  <si>
    <t>Jake Diekman</t>
  </si>
  <si>
    <t>Aaron Sanchez</t>
  </si>
  <si>
    <t>Joc Pederson</t>
  </si>
  <si>
    <t>Randal Grichuk</t>
  </si>
  <si>
    <t>Jonathan Villar</t>
  </si>
  <si>
    <t>Michael A. Taylor</t>
  </si>
  <si>
    <t>David Hernandez</t>
  </si>
  <si>
    <t>Matt Albers</t>
  </si>
  <si>
    <t>Alcides Escobar</t>
  </si>
  <si>
    <t>Boone Logan</t>
  </si>
  <si>
    <t>Nick Hundley</t>
  </si>
  <si>
    <t>Sergio Romo</t>
  </si>
  <si>
    <t>Will Smith</t>
  </si>
  <si>
    <t>Lance McCullers Jr.</t>
  </si>
  <si>
    <t>Luis Avilan</t>
  </si>
  <si>
    <t>Zach McAllister</t>
  </si>
  <si>
    <t>Brad Peacock</t>
  </si>
  <si>
    <t>Eric Sogard</t>
  </si>
  <si>
    <t>Eduardo Rodriguez</t>
  </si>
  <si>
    <t>James McCann</t>
  </si>
  <si>
    <t>Kendall Graveman</t>
  </si>
  <si>
    <t>Yolmer Sanchez</t>
  </si>
  <si>
    <t>Drew Butera</t>
  </si>
  <si>
    <t>C.J. Cron</t>
  </si>
  <si>
    <t>Carlos Rodon</t>
  </si>
  <si>
    <t>Tony Cingrani</t>
  </si>
  <si>
    <t>Craig Stammen</t>
  </si>
  <si>
    <t>Robinson Chirinos</t>
  </si>
  <si>
    <t>Jorge De La Rosa</t>
  </si>
  <si>
    <t>Randall Delgado</t>
  </si>
  <si>
    <t>Brock Holt</t>
  </si>
  <si>
    <t>Josh Fields</t>
  </si>
  <si>
    <t>Mike Foltynewicz</t>
  </si>
  <si>
    <t>Dominic Leone</t>
  </si>
  <si>
    <t>Blake Treinen</t>
  </si>
  <si>
    <t>Chris Hatcher</t>
  </si>
  <si>
    <t>Zach Duke</t>
  </si>
  <si>
    <t>Jared Hughes</t>
  </si>
  <si>
    <t>Tyler Thornburg</t>
  </si>
  <si>
    <t>Michael Pineda</t>
  </si>
  <si>
    <t>Jeff Mathis</t>
  </si>
  <si>
    <t>Aledmys Diaz</t>
  </si>
  <si>
    <t>Chad Bettis</t>
  </si>
  <si>
    <t>Chris Young</t>
  </si>
  <si>
    <t>Daniel Descalso</t>
  </si>
  <si>
    <t>Hector Santiago</t>
  </si>
  <si>
    <t>Jacob Turner</t>
  </si>
  <si>
    <t>Jose Reyes</t>
  </si>
  <si>
    <t>Nathan Eovaldi</t>
  </si>
  <si>
    <t>Robbie Grossman</t>
  </si>
  <si>
    <t>Seung Hwan Oh</t>
  </si>
  <si>
    <t>Tom Koehler</t>
  </si>
  <si>
    <t>Hernan Perez</t>
  </si>
  <si>
    <t>Sandy Leon</t>
  </si>
  <si>
    <t>Shane Greene</t>
  </si>
  <si>
    <t>Alex Wilson</t>
  </si>
  <si>
    <t>Kazuhisa Makita</t>
  </si>
  <si>
    <t>Jake Marisnick</t>
  </si>
  <si>
    <t>JC Ramirez</t>
  </si>
  <si>
    <t>Liam Hendriks</t>
  </si>
  <si>
    <t>Tyler Skaggs</t>
  </si>
  <si>
    <t>Brad Boxberger</t>
  </si>
  <si>
    <t>Aaron Loup</t>
  </si>
  <si>
    <t>Blake Parker</t>
  </si>
  <si>
    <t>Chris Martin</t>
  </si>
  <si>
    <t>Jeremy Jeffress</t>
  </si>
  <si>
    <t>Leonys Martin</t>
  </si>
  <si>
    <t>Rajai Davis</t>
  </si>
  <si>
    <t>Tony Barnette</t>
  </si>
  <si>
    <t>Cory Spangenberg</t>
  </si>
  <si>
    <t>Cory Gearrin</t>
  </si>
  <si>
    <t>Dylan Bundy</t>
  </si>
  <si>
    <t>Roberto Perez</t>
  </si>
  <si>
    <t>Ketel Marte</t>
  </si>
  <si>
    <t>Enrique Hernandez</t>
  </si>
  <si>
    <t>Ryan Pressly</t>
  </si>
  <si>
    <t>Hunter Strickland</t>
  </si>
  <si>
    <t>Stephen Piscotty</t>
  </si>
  <si>
    <t>Paul DeJong</t>
  </si>
  <si>
    <t>Cliff Pennington</t>
  </si>
  <si>
    <t>Derek Holland</t>
  </si>
  <si>
    <t>Fernando Salas</t>
  </si>
  <si>
    <t>John Axford</t>
  </si>
  <si>
    <t>Matt Belisle</t>
  </si>
  <si>
    <t>Pedro Baez</t>
  </si>
  <si>
    <t>Tyler Clippard</t>
  </si>
  <si>
    <t>Blake Wood</t>
  </si>
  <si>
    <t>Christian Vazquez</t>
  </si>
  <si>
    <t>Devon Travis</t>
  </si>
  <si>
    <t>Nate Karns</t>
  </si>
  <si>
    <t>Michael Lorenzen</t>
  </si>
  <si>
    <t>Tommy Kahnle</t>
  </si>
  <si>
    <t>Miguel Montero</t>
  </si>
  <si>
    <t>Chris Rusin</t>
  </si>
  <si>
    <t>Nick Ahmed</t>
  </si>
  <si>
    <t>A.J. Ellis</t>
  </si>
  <si>
    <t>Caleb Joseph</t>
  </si>
  <si>
    <t>Justin Grimm</t>
  </si>
  <si>
    <t>Kevin Jepsen</t>
  </si>
  <si>
    <t>Phil Gosselin</t>
  </si>
  <si>
    <t>Danny Valencia</t>
  </si>
  <si>
    <t>Keone Kela</t>
  </si>
  <si>
    <t>Luis Garcia</t>
  </si>
  <si>
    <t>Tyler Lyons</t>
  </si>
  <si>
    <t>Andrew Chafin</t>
  </si>
  <si>
    <t>Miguel Rojas</t>
  </si>
  <si>
    <t>Leury Garcia</t>
  </si>
  <si>
    <t>Scott Kingery</t>
  </si>
  <si>
    <t>Dan Otero</t>
  </si>
  <si>
    <t>Kyle Barraclough</t>
  </si>
  <si>
    <t>Austin Romine</t>
  </si>
  <si>
    <t>Cam Bedrosian</t>
  </si>
  <si>
    <t>Rex Brothers</t>
  </si>
  <si>
    <t>Steven Wright</t>
  </si>
  <si>
    <t>Braxton Lee</t>
  </si>
  <si>
    <t>Brett Graves</t>
  </si>
  <si>
    <t>Caleb Smith</t>
  </si>
  <si>
    <t>Chris O'Grady</t>
  </si>
  <si>
    <t>Dillon Peters</t>
  </si>
  <si>
    <t>Drew Steckenrider</t>
  </si>
  <si>
    <t>Elieser Hernandez</t>
  </si>
  <si>
    <t>Odrisamer Despaigne</t>
  </si>
  <si>
    <t>Sam Freeman</t>
  </si>
  <si>
    <t>Kirby Yates</t>
  </si>
  <si>
    <t>Andrew Romine</t>
  </si>
  <si>
    <t>Danny Farquhar</t>
  </si>
  <si>
    <t>Jose Alvarez</t>
  </si>
  <si>
    <t>Jurickson Profar</t>
  </si>
  <si>
    <t>Tim Anderson</t>
  </si>
  <si>
    <t>Chase Utley</t>
  </si>
  <si>
    <t>Blaine Boyer</t>
  </si>
  <si>
    <t>Bryan Holaday</t>
  </si>
  <si>
    <t>Carlos Correa</t>
  </si>
  <si>
    <t>Ehire Adrianza</t>
  </si>
  <si>
    <t>Gregor Blanco</t>
  </si>
  <si>
    <t>Jesse Chavez</t>
  </si>
  <si>
    <t>Joaquin Benoit</t>
  </si>
  <si>
    <t>Jordan Lyles</t>
  </si>
  <si>
    <t>Pedro Alvarez</t>
  </si>
  <si>
    <t>Peter Bourjos</t>
  </si>
  <si>
    <t>Ryan Goins</t>
  </si>
  <si>
    <t>Tim Lincecum</t>
  </si>
  <si>
    <t>Matt Szczur</t>
  </si>
  <si>
    <t>Tommy La Stella</t>
  </si>
  <si>
    <t>Matt Duffy</t>
  </si>
  <si>
    <t>Jesus Sucre</t>
  </si>
  <si>
    <t>Josh Phegley</t>
  </si>
  <si>
    <t>Craig Gentry</t>
  </si>
  <si>
    <t>Ryan Rua</t>
  </si>
  <si>
    <t>Anthony DeSclafani</t>
  </si>
  <si>
    <t>Carson Smith</t>
  </si>
  <si>
    <t>Ji-Man Choi</t>
  </si>
  <si>
    <t>T.J. McFarland</t>
  </si>
  <si>
    <t>Jacob Lindgren</t>
  </si>
  <si>
    <t>Chasen Shreve</t>
  </si>
  <si>
    <t>Andrew Heaney</t>
  </si>
  <si>
    <t>Chase Whitley</t>
  </si>
  <si>
    <t>Guillermo Heredia</t>
  </si>
  <si>
    <t>Jake Smolinski</t>
  </si>
  <si>
    <t>Ichiro Suzuki</t>
  </si>
  <si>
    <t>Ryan Flaherty</t>
  </si>
  <si>
    <t>Chaz Roe</t>
  </si>
  <si>
    <t>Kevin Quackenbush</t>
  </si>
  <si>
    <t>Javier Baez</t>
  </si>
  <si>
    <t>Francisco Pena</t>
  </si>
  <si>
    <t>Niko Goodrum</t>
  </si>
  <si>
    <t>Robbie Erlin</t>
  </si>
  <si>
    <t>Trevor May</t>
  </si>
  <si>
    <t>Wade LeBlanc</t>
  </si>
  <si>
    <t>Adam Duvall</t>
  </si>
  <si>
    <t>Yimi Garcia</t>
  </si>
  <si>
    <t>Francisco Lindor</t>
  </si>
  <si>
    <t>Aaron Judge</t>
  </si>
  <si>
    <t>Brandon Drury</t>
  </si>
  <si>
    <t>Andrew Benintendi</t>
  </si>
  <si>
    <t>Gary Sanchez</t>
  </si>
  <si>
    <t>Ronald Torreyes</t>
  </si>
  <si>
    <t>Mike Montgomery</t>
  </si>
  <si>
    <t>Dan Winkler</t>
  </si>
  <si>
    <t>Zac Rosscup</t>
  </si>
  <si>
    <t>Michael Conforto</t>
  </si>
  <si>
    <t>Corey Seager</t>
  </si>
  <si>
    <t>Matt Barnes</t>
  </si>
  <si>
    <t>Luis Severino</t>
  </si>
  <si>
    <t>Kyle Schwarber</t>
  </si>
  <si>
    <t>Willson Contreras</t>
  </si>
  <si>
    <t>Eddie Rosario</t>
  </si>
  <si>
    <t>Miguel Sano</t>
  </si>
  <si>
    <t>Juan Centeno</t>
  </si>
  <si>
    <t>Pedro Florimon</t>
  </si>
  <si>
    <t>Chris Devenski</t>
  </si>
  <si>
    <t>Alex Bregman</t>
  </si>
  <si>
    <t>Carl Edwards Jr.</t>
  </si>
  <si>
    <t>Max Kepler</t>
  </si>
  <si>
    <t>Cody Bellinger</t>
  </si>
  <si>
    <t>Ryan LaMarre</t>
  </si>
  <si>
    <t>Albert Almora Jr.</t>
  </si>
  <si>
    <t>Hector Neris</t>
  </si>
  <si>
    <t>Greg Bird</t>
  </si>
  <si>
    <t>Archie Bradley</t>
  </si>
  <si>
    <t>Heath Hembree</t>
  </si>
  <si>
    <t>Jordan Montgomery</t>
  </si>
  <si>
    <t>Byron Buxton</t>
  </si>
  <si>
    <t>Raffy Lopez</t>
  </si>
  <si>
    <t>Scott Schebler</t>
  </si>
  <si>
    <t>Zack Godley</t>
  </si>
  <si>
    <t>Brandon Finnegan</t>
  </si>
  <si>
    <t>Trea Turner</t>
  </si>
  <si>
    <t>Steven Matz</t>
  </si>
  <si>
    <t>Michael Feliz</t>
  </si>
  <si>
    <t>Michael Fulmer</t>
  </si>
  <si>
    <t>Charlie Culberson</t>
  </si>
  <si>
    <t>Chris Stewart</t>
  </si>
  <si>
    <t>Chris Taylor</t>
  </si>
  <si>
    <t>Jorge Polanco</t>
  </si>
  <si>
    <t>Jose Urena</t>
  </si>
  <si>
    <t>Lane Adams</t>
  </si>
  <si>
    <t>Peter Moylan</t>
  </si>
  <si>
    <t>Ryan Tepera</t>
  </si>
  <si>
    <t>Jesse Hahn</t>
  </si>
  <si>
    <t>Brian Flynn</t>
  </si>
  <si>
    <t>Cheslor Cuthbert</t>
  </si>
  <si>
    <t>Aaron Nola</t>
  </si>
  <si>
    <t>Josh Bell</t>
  </si>
  <si>
    <t>Domingo Santana</t>
  </si>
  <si>
    <t>Zach Davies</t>
  </si>
  <si>
    <t>Adam Frazier</t>
  </si>
  <si>
    <t>Jameson Taillon</t>
  </si>
  <si>
    <t>Joe Musgrove</t>
  </si>
  <si>
    <t>Chad Green</t>
  </si>
  <si>
    <t>Edwin Diaz</t>
  </si>
  <si>
    <t>Eddie Butler</t>
  </si>
  <si>
    <t>Chad Kuhl</t>
  </si>
  <si>
    <t>Josh Smoker</t>
  </si>
  <si>
    <t>Tommy Pham</t>
  </si>
  <si>
    <t>Ian Happ</t>
  </si>
  <si>
    <t>Jose Berrios</t>
  </si>
  <si>
    <t>Jose Peraza</t>
  </si>
  <si>
    <t>Matt Davidson</t>
  </si>
  <si>
    <t>Greg Garcia</t>
  </si>
  <si>
    <t>Trevor Williams</t>
  </si>
  <si>
    <t>Whit Merrifield</t>
  </si>
  <si>
    <t>Paulo Orlando</t>
  </si>
  <si>
    <t>Alex Claudio</t>
  </si>
  <si>
    <t>Jerad Eickhoff</t>
  </si>
  <si>
    <t>Joe Ross</t>
  </si>
  <si>
    <t>James Hoyt</t>
  </si>
  <si>
    <t>Travis Shaw</t>
  </si>
  <si>
    <t>A.J. Schugel</t>
  </si>
  <si>
    <t>Luis Perdomo</t>
  </si>
  <si>
    <t>Mychal Givens</t>
  </si>
  <si>
    <t>Matt Bowman</t>
  </si>
  <si>
    <t>Dansby Swanson</t>
  </si>
  <si>
    <t>Enny Romero</t>
  </si>
  <si>
    <t>Preston Tucker</t>
  </si>
  <si>
    <t>Taylor Rogers</t>
  </si>
  <si>
    <t>Ty Blach</t>
  </si>
  <si>
    <t>Tyler Saladino</t>
  </si>
  <si>
    <t>Tyler Naquin</t>
  </si>
  <si>
    <t>Rafael Devers</t>
  </si>
  <si>
    <t>Seth Lugo</t>
  </si>
  <si>
    <t>Nomar Mazara</t>
  </si>
  <si>
    <t>Blake Swihart</t>
  </si>
  <si>
    <t>Robert Gsellman</t>
  </si>
  <si>
    <t>Matthew Boyd</t>
  </si>
  <si>
    <t>Jorge Bonifacio</t>
  </si>
  <si>
    <t>Danny Barnes</t>
  </si>
  <si>
    <t>Delino DeShields</t>
  </si>
  <si>
    <t>Deven Marrero</t>
  </si>
  <si>
    <t>Gorkys Hernandez</t>
  </si>
  <si>
    <t>Nick Goody</t>
  </si>
  <si>
    <t>Daniel Norris</t>
  </si>
  <si>
    <t>Aaron Altherr</t>
  </si>
  <si>
    <t>Jose Martinez</t>
  </si>
  <si>
    <t>Mikie Mahtook</t>
  </si>
  <si>
    <t>Sammy Solis</t>
  </si>
  <si>
    <t>Mitch Haniger</t>
  </si>
  <si>
    <t>Manny Pina</t>
  </si>
  <si>
    <t>Adam Morgan</t>
  </si>
  <si>
    <t>Joey Gallo</t>
  </si>
  <si>
    <t>Kelby Tomlinson</t>
  </si>
  <si>
    <t>Kevan Smith</t>
  </si>
  <si>
    <t>Omar Narvaez</t>
  </si>
  <si>
    <t>Yadiel Rivera</t>
  </si>
  <si>
    <t>Orlando Arcia</t>
  </si>
  <si>
    <t>Clint Frazier</t>
  </si>
  <si>
    <t>Ryon Healy</t>
  </si>
  <si>
    <t>Elias Diaz</t>
  </si>
  <si>
    <t>Jefry Marte</t>
  </si>
  <si>
    <t>Vince Velasquez</t>
  </si>
  <si>
    <t>Jacob Barnes</t>
  </si>
  <si>
    <t>Tyler Austin</t>
  </si>
  <si>
    <t>Mike Clevinger</t>
  </si>
  <si>
    <t>Luke Maile</t>
  </si>
  <si>
    <t>Matt Andriese</t>
  </si>
  <si>
    <t>Blake Snell</t>
  </si>
  <si>
    <t>Ben Gamel</t>
  </si>
  <si>
    <t>Rafael Montero</t>
  </si>
  <si>
    <t>Gregory Infante</t>
  </si>
  <si>
    <t>John Ryan Murphy</t>
  </si>
  <si>
    <t>Josh Osich</t>
  </si>
  <si>
    <t>Juan Minaya</t>
  </si>
  <si>
    <t>Wilmer Difo</t>
  </si>
  <si>
    <t>Dovydas Neverauskas</t>
  </si>
  <si>
    <t>Wandy Peralta</t>
  </si>
  <si>
    <t>Kevin Plawecki</t>
  </si>
  <si>
    <t>Jesus Aguilar</t>
  </si>
  <si>
    <t>Max Stassi</t>
  </si>
  <si>
    <t>Matt Grace</t>
  </si>
  <si>
    <t>Steven Brault</t>
  </si>
  <si>
    <t>Manuel Margot</t>
  </si>
  <si>
    <t>Brent Suter</t>
  </si>
  <si>
    <t>Edgar Santana</t>
  </si>
  <si>
    <t>Josh Hader</t>
  </si>
  <si>
    <t>Trey Mancini</t>
  </si>
  <si>
    <t>Tyler Glasnow</t>
  </si>
  <si>
    <t>Jandel Gustave</t>
  </si>
  <si>
    <t>Jose Pirela</t>
  </si>
  <si>
    <t>Richard Bleier</t>
  </si>
  <si>
    <t>Brandon Nimmo</t>
  </si>
  <si>
    <t>Matt Bush</t>
  </si>
  <si>
    <t>Dinelson Lamet</t>
  </si>
  <si>
    <t>Colin Rea</t>
  </si>
  <si>
    <t>A.J. Cole</t>
  </si>
  <si>
    <t>A.J. Minter</t>
  </si>
  <si>
    <t>Austin Barnes</t>
  </si>
  <si>
    <t>Jake Faria</t>
  </si>
  <si>
    <t>Jarlin Garcia</t>
  </si>
  <si>
    <t>Johan Camargo</t>
  </si>
  <si>
    <t>Jon Gray</t>
  </si>
  <si>
    <t>Lucas Giolito</t>
  </si>
  <si>
    <t>Luis Castillo</t>
  </si>
  <si>
    <t>Luiz Gohara</t>
  </si>
  <si>
    <t>Ozzie Albies</t>
  </si>
  <si>
    <t>Phillip Evans</t>
  </si>
  <si>
    <t>Reynaldo Lopez</t>
  </si>
  <si>
    <t>Ross Stripling</t>
  </si>
  <si>
    <t>Ryan Buchter</t>
  </si>
  <si>
    <t>Ryan Dull</t>
  </si>
  <si>
    <t>Scott Alexander</t>
  </si>
  <si>
    <t>Scott Oberg</t>
  </si>
  <si>
    <t>Sean Newcomb</t>
  </si>
  <si>
    <t>Shane Carle</t>
  </si>
  <si>
    <t>Trevor Gott</t>
  </si>
  <si>
    <t>Trevor Hildenberger</t>
  </si>
  <si>
    <t>Trevor Story</t>
  </si>
  <si>
    <t>Tyler Anderson</t>
  </si>
  <si>
    <t>Yoan Moncada</t>
  </si>
  <si>
    <t>Buck Farmer</t>
  </si>
  <si>
    <t>Sam Tuivailala</t>
  </si>
  <si>
    <t>Derek Fisher</t>
  </si>
  <si>
    <t>Oliver Drake</t>
  </si>
  <si>
    <t>Jakob Junis</t>
  </si>
  <si>
    <t>Edubray Ramos</t>
  </si>
  <si>
    <t>Marco Hernandez</t>
  </si>
  <si>
    <t>Brian Goodwin</t>
  </si>
  <si>
    <t>James Pazos</t>
  </si>
  <si>
    <t>Jonathan Holder</t>
  </si>
  <si>
    <t>Hunter Renfroe</t>
  </si>
  <si>
    <t>Dixon Machado</t>
  </si>
  <si>
    <t>Mike Wright Jr.</t>
  </si>
  <si>
    <t>Paul Sewald</t>
  </si>
  <si>
    <t>Austin Hedges</t>
  </si>
  <si>
    <t>Mallex Smith</t>
  </si>
  <si>
    <t>Miguel Castro</t>
  </si>
  <si>
    <t>Nick Williams</t>
  </si>
  <si>
    <t>Nicky Delmonico</t>
  </si>
  <si>
    <t>Bryan Mitchell</t>
  </si>
  <si>
    <t>Matt Strahm</t>
  </si>
  <si>
    <t>Chris Stratton</t>
  </si>
  <si>
    <t>Rhys Hoskins</t>
  </si>
  <si>
    <t>Rob Refsnyder</t>
  </si>
  <si>
    <t>Burch Smith</t>
  </si>
  <si>
    <t>Jose Leclerc</t>
  </si>
  <si>
    <t>Adam Engel</t>
  </si>
  <si>
    <t>Austin Maddox</t>
  </si>
  <si>
    <t>Carson Fulmer</t>
  </si>
  <si>
    <t>Dalton Pompey</t>
  </si>
  <si>
    <t>Daniel Stumpf</t>
  </si>
  <si>
    <t>Koda Glover</t>
  </si>
  <si>
    <t>Alex Dickerson</t>
  </si>
  <si>
    <t>Alex Meyer</t>
  </si>
  <si>
    <t>Drew VerHagen</t>
  </si>
  <si>
    <t>John Hicks</t>
  </si>
  <si>
    <t>Tyler Wade</t>
  </si>
  <si>
    <t>Bradley Zimmer</t>
  </si>
  <si>
    <t>Keynan Middleton</t>
  </si>
  <si>
    <t>Nick Pivetta</t>
  </si>
  <si>
    <t>Luke Weaver</t>
  </si>
  <si>
    <t>Jett Bandy</t>
  </si>
  <si>
    <t>Warwick Saupold</t>
  </si>
  <si>
    <t>Marco Gonzales</t>
  </si>
  <si>
    <t>Austin Pruitt</t>
  </si>
  <si>
    <t>Brandon Woodruff</t>
  </si>
  <si>
    <t>Carlos Asuaje</t>
  </si>
  <si>
    <t>J.D. Davis</t>
  </si>
  <si>
    <t>Andrew Triggs</t>
  </si>
  <si>
    <t>Antonio Senzatela</t>
  </si>
  <si>
    <t>Ben Lively</t>
  </si>
  <si>
    <t>Bruce Maxwell</t>
  </si>
  <si>
    <t>Carlos Estevez</t>
  </si>
  <si>
    <t>Chad Pinder</t>
  </si>
  <si>
    <t>Colin Moran</t>
  </si>
  <si>
    <t>Daniel Coulombe</t>
  </si>
  <si>
    <t>German Marquez</t>
  </si>
  <si>
    <t>J.T. Chargois</t>
  </si>
  <si>
    <t>Jharel Cotton</t>
  </si>
  <si>
    <t>Julio Urias</t>
  </si>
  <si>
    <t>Kyle Freeland</t>
  </si>
  <si>
    <t>Pat Valaika</t>
  </si>
  <si>
    <t>Roberto E Gomez</t>
  </si>
  <si>
    <t>Sean Manaea</t>
  </si>
  <si>
    <t>Tony Wolters</t>
  </si>
  <si>
    <t>Wilmer Font</t>
  </si>
  <si>
    <t>Dan Altavilla</t>
  </si>
  <si>
    <t>Jose Alvarado</t>
  </si>
  <si>
    <t>Mark Leiter</t>
  </si>
  <si>
    <t>JaCoby Jones</t>
  </si>
  <si>
    <t>Aaron Bummer</t>
  </si>
  <si>
    <t>Gabriel Ynoa</t>
  </si>
  <si>
    <t>Jake Thompson</t>
  </si>
  <si>
    <t>Amed Rosario</t>
  </si>
  <si>
    <t>Johnny Barbato</t>
  </si>
  <si>
    <t>Allen Cordoba</t>
  </si>
  <si>
    <t>Christian Villanueva</t>
  </si>
  <si>
    <t>Noe Ramirez</t>
  </si>
  <si>
    <t>Daniel Robertson</t>
  </si>
  <si>
    <t>Giovanny Urshela</t>
  </si>
  <si>
    <t>Jeimer Candelario</t>
  </si>
  <si>
    <t>Tyler Olson</t>
  </si>
  <si>
    <t>Andrew Kittredge</t>
  </si>
  <si>
    <t>Andrew Knapp</t>
  </si>
  <si>
    <t>Brian Johnson</t>
  </si>
  <si>
    <t>Hoby Milner</t>
  </si>
  <si>
    <t>Drew Robinson</t>
  </si>
  <si>
    <t>Erik Gonzalez</t>
  </si>
  <si>
    <t>Gift Ngoepe</t>
  </si>
  <si>
    <t>Amir Garrett</t>
  </si>
  <si>
    <t>Austin Brice</t>
  </si>
  <si>
    <t>Boog Powell</t>
  </si>
  <si>
    <t>Cody Reed</t>
  </si>
  <si>
    <t>Daniel Gossett</t>
  </si>
  <si>
    <t>Daniel Mengden</t>
  </si>
  <si>
    <t>Emilio Pagan</t>
  </si>
  <si>
    <t>Kyle Farmer</t>
  </si>
  <si>
    <t>Matt Chapman</t>
  </si>
  <si>
    <t>Matt Olson</t>
  </si>
  <si>
    <t>Mitch Garver</t>
  </si>
  <si>
    <t>Paul Blackburn</t>
  </si>
  <si>
    <t>Victor Caratini</t>
  </si>
  <si>
    <t>Joe Jimenez</t>
  </si>
  <si>
    <t>Raul Mondesi</t>
  </si>
  <si>
    <t>Hector Velazquez</t>
  </si>
  <si>
    <t>Jeff Hoffman</t>
  </si>
  <si>
    <t>Jorge Alfaro</t>
  </si>
  <si>
    <t>Mike Tauchman</t>
  </si>
  <si>
    <t>Ricardo Rodriguez</t>
  </si>
  <si>
    <t>Ryan McMahon</t>
  </si>
  <si>
    <t>Joey Wendle</t>
  </si>
  <si>
    <t>Kyle McGrath</t>
  </si>
  <si>
    <t>Dominic Smith</t>
  </si>
  <si>
    <t>Eric Skoglund</t>
  </si>
  <si>
    <t>Anthony Santander</t>
  </si>
  <si>
    <t>Chance Sisco</t>
  </si>
  <si>
    <t>Franchy Cordero</t>
  </si>
  <si>
    <t>Cam Gallagher</t>
  </si>
  <si>
    <t>Bubba Starling</t>
  </si>
  <si>
    <t>Casey Lawrence</t>
  </si>
  <si>
    <t>Clayton Blackburn</t>
  </si>
  <si>
    <t>Raudy Read</t>
  </si>
  <si>
    <t>Ronald Herrera</t>
  </si>
  <si>
    <t>Ryan Merritt</t>
  </si>
  <si>
    <t>Daniel Vogelbach</t>
  </si>
  <si>
    <t>Mike Marjama</t>
  </si>
  <si>
    <t>Jacob Rhame</t>
  </si>
  <si>
    <t>Alex Reyes</t>
  </si>
  <si>
    <t>Jose De Leon</t>
  </si>
  <si>
    <t>J.P. Crawford</t>
  </si>
  <si>
    <t>Reyes Moronta</t>
  </si>
  <si>
    <t>Victor Arano</t>
  </si>
  <si>
    <t>Anthony Alford</t>
  </si>
  <si>
    <t>Adam Cimber</t>
  </si>
  <si>
    <t>Bobby Poyner</t>
  </si>
  <si>
    <t>Brad Keller</t>
  </si>
  <si>
    <t>Brady Rodgers</t>
  </si>
  <si>
    <t>Brian Anderson</t>
  </si>
  <si>
    <t>Carlos Tocci</t>
  </si>
  <si>
    <t>Chad Wallach</t>
  </si>
  <si>
    <t>Cody Anderson</t>
  </si>
  <si>
    <t>Dean Deetz</t>
  </si>
  <si>
    <t>Gabriel Moya</t>
  </si>
  <si>
    <t>Garrett Cooper</t>
  </si>
  <si>
    <t>Jack Flaherty</t>
  </si>
  <si>
    <t>Jackson Stephens</t>
  </si>
  <si>
    <t>Jesse Winker</t>
  </si>
  <si>
    <t>Joe Palumbo</t>
  </si>
  <si>
    <t>Jordan Hicks</t>
  </si>
  <si>
    <t>JT Riddle</t>
  </si>
  <si>
    <t>Julian Fernandez</t>
  </si>
  <si>
    <t>Kevin Shackelford</t>
  </si>
  <si>
    <t>Lewis Brinson</t>
  </si>
  <si>
    <t>Luke Bard</t>
  </si>
  <si>
    <t>Marcus Walden</t>
  </si>
  <si>
    <t>Mike Mayers</t>
  </si>
  <si>
    <t>Nestor Cortes</t>
  </si>
  <si>
    <t>Nick Burdi</t>
  </si>
  <si>
    <t>Nik Turley</t>
  </si>
  <si>
    <t>Pedro Araujo</t>
  </si>
  <si>
    <t>Phillip Ervin</t>
  </si>
  <si>
    <t>Pierce Johnson</t>
  </si>
  <si>
    <t>Rayan Gonzalez</t>
  </si>
  <si>
    <t>Renato Nunez</t>
  </si>
  <si>
    <t>Rookie Davis</t>
  </si>
  <si>
    <t>Ryan Yarbrough</t>
  </si>
  <si>
    <t>Sal Romano</t>
  </si>
  <si>
    <t>Tayron Guerrero</t>
  </si>
  <si>
    <t>Thomas Pannone</t>
  </si>
  <si>
    <t>Tim Hill</t>
  </si>
  <si>
    <t>Tomas Telis</t>
  </si>
  <si>
    <t>Tyler Kinley</t>
  </si>
  <si>
    <t>Tyler Mahle</t>
  </si>
  <si>
    <t>Victor Reyes</t>
  </si>
  <si>
    <t>Yairo Munoz</t>
  </si>
  <si>
    <t>Yonny Chirinos</t>
  </si>
  <si>
    <t>Zack Weiss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</si>
</sst>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right"/>
    </xf>
    <xf numFmtId="164" fontId="0" fillId="0" borderId="0" xfId="0" applyNumberFormat="1"/>
    <xf numFmtId="0" fontId="16" fillId="0" borderId="10" xfId="0" applyFont="1" applyBorder="1" applyAlignment="1">
      <alignment horizontal="right"/>
    </xf>
    <xf numFmtId="164" fontId="0" fillId="0" borderId="10" xfId="0" applyNumberFormat="1" applyBorder="1"/>
    <xf numFmtId="0" fontId="16" fillId="0" borderId="10" xfId="0" applyFont="1" applyBorder="1" applyAlignment="1">
      <alignment horizontal="center" wrapText="1"/>
    </xf>
    <xf numFmtId="165" fontId="0" fillId="0" borderId="10" xfId="0" applyNumberFormat="1" applyBorder="1"/>
    <xf numFmtId="0" fontId="0" fillId="0" borderId="0" xfId="0" pivotButton="1"/>
    <xf numFmtId="0" fontId="18" fillId="0" borderId="0" xfId="0" applyFont="1"/>
    <xf numFmtId="0" fontId="19" fillId="0" borderId="0" xfId="0" applyFont="1"/>
    <xf numFmtId="164" fontId="19" fillId="0" borderId="0" xfId="0" applyNumberFormat="1" applyFont="1"/>
    <xf numFmtId="165" fontId="19" fillId="0" borderId="0" xfId="0" applyNumberFormat="1" applyFont="1"/>
    <xf numFmtId="11" fontId="0" fillId="0" borderId="0" xfId="0" applyNumberFormat="1"/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Salaries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Salaries</a:t>
          </a:r>
        </a:p>
      </cx:txPr>
    </cx:title>
    <cx:plotArea>
      <cx:plotAreaRegion>
        <cx:series layoutId="clusteredColumn" uniqueId="{00000002-09BF-4647-9DB5-CDED937490CF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35</xdr:row>
      <xdr:rowOff>142875</xdr:rowOff>
    </xdr:from>
    <xdr:to>
      <xdr:col>14</xdr:col>
      <xdr:colOff>676275</xdr:colOff>
      <xdr:row>53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683AC5-302B-0D53-A2D0-D7F338C570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2.026988773148" createdVersion="8" refreshedVersion="8" minRefreshableVersion="3" recordCount="877" xr:uid="{158E3525-95DF-423B-BC26-7C629F8A7F23}">
  <cacheSource type="worksheet">
    <worksheetSource ref="A1:F878" sheet="Salaries_2023"/>
  </cacheSource>
  <cacheFields count="6">
    <cacheField name="Name" numFmtId="0">
      <sharedItems/>
    </cacheField>
    <cacheField name="Team" numFmtId="0">
      <sharedItems count="31">
        <s v="Los Vegas"/>
        <s v="Los Angeles Dodgers"/>
        <s v="Arizona Diamondbacks"/>
        <s v="Detroit Tigers"/>
        <s v="Boston Red Sox"/>
        <s v="Philadelphia Phillies"/>
        <s v="New York Mets"/>
        <s v="Houston Astros"/>
        <s v="Chicago Cubs"/>
        <s v="Los Angeles Angels"/>
        <s v="Seattle Mariners"/>
        <s v="New York Yankees"/>
        <s v="Cincinnati Reds"/>
        <s v="Minnesota Twins"/>
        <s v="Toronto Blue Jays"/>
        <s v="San Francisco Giants"/>
        <s v="Texas Rangers"/>
        <s v="Washington Nationals"/>
        <s v="Colorado Rockies"/>
        <s v="St. Louis Cardinals"/>
        <s v="San Diego Padres"/>
        <s v="Atlanta Braves"/>
        <s v="Chicago White Sox"/>
        <s v="Baltimore Orioles"/>
        <s v="Kansas City Royals"/>
        <s v="Milwaukee Brewers"/>
        <s v="Cleveland Indians"/>
        <s v="Miami Marlins"/>
        <s v="Tampa Bay Rays"/>
        <s v="Pittsburgh Pirates"/>
        <s v="Oakland Athletics"/>
      </sharedItems>
    </cacheField>
    <cacheField name="Position" numFmtId="0">
      <sharedItems count="8">
        <s v="Outfielder"/>
        <s v="Pitcher"/>
        <s v="First Baseman"/>
        <s v="Second Baseman"/>
        <s v="Third Baseman"/>
        <s v="Catcher"/>
        <s v="Shortstop"/>
        <s v="Designated Hitter"/>
      </sharedItems>
    </cacheField>
    <cacheField name="Playing Experience with Current Team (years)" numFmtId="0">
      <sharedItems containsSemiMixedTypes="0" containsString="0" containsNumber="1" containsInteger="1" minValue="1" maxValue="11"/>
    </cacheField>
    <cacheField name="Total Years of Experience" numFmtId="0">
      <sharedItems containsSemiMixedTypes="0" containsString="0" containsNumber="1" containsInteger="1" minValue="2" maxValue="22"/>
    </cacheField>
    <cacheField name="Salary" numFmtId="164">
      <sharedItems containsSemiMixedTypes="0" containsString="0" containsNumber="1" containsInteger="1" minValue="545000" maxValue="44083333" count="448">
        <n v="44083333"/>
        <n v="43000000"/>
        <n v="32954483"/>
        <n v="30000000"/>
        <n v="29050000"/>
        <n v="28500000"/>
        <n v="27500000"/>
        <n v="28000000"/>
        <n v="26857143"/>
        <n v="26055288"/>
        <n v="25070000"/>
        <n v="25000000"/>
        <n v="24000000"/>
        <n v="23750000"/>
        <n v="23000000"/>
        <n v="22750000"/>
        <n v="22666666"/>
        <n v="22500000"/>
        <n v="22357142"/>
        <n v="22177778"/>
        <n v="22142857"/>
        <n v="22000000"/>
        <n v="21857142"/>
        <n v="21625000"/>
        <n v="21500000"/>
        <n v="21359375"/>
        <n v="21250000"/>
        <n v="21169326"/>
        <n v="21125000"/>
        <n v="21000000"/>
        <n v="20000000"/>
        <n v="19800000"/>
        <n v="19600000"/>
        <n v="19500000"/>
        <n v="19399744"/>
        <n v="19088823"/>
        <n v="19000000"/>
        <n v="18700000"/>
        <n v="18666667"/>
        <n v="18500000"/>
        <n v="18000000"/>
        <n v="17750000"/>
        <n v="17700000"/>
        <n v="17500000"/>
        <n v="17393152"/>
        <n v="17200000"/>
        <n v="17000000"/>
        <n v="16666667"/>
        <n v="16500000"/>
        <n v="16428571"/>
        <n v="16333333"/>
        <n v="16000000"/>
        <n v="15521686"/>
        <n v="15333333"/>
        <n v="15200000"/>
        <n v="15000000"/>
        <n v="14750000"/>
        <n v="14500000"/>
        <n v="14333333"/>
        <n v="14250000"/>
        <n v="14083333"/>
        <n v="14000000"/>
        <n v="13900000"/>
        <n v="13666667"/>
        <n v="13500000"/>
        <n v="13200000"/>
        <n v="13125000"/>
        <n v="13000000"/>
        <n v="12666666"/>
        <n v="12500000"/>
        <n v="12333333"/>
        <n v="12300000"/>
        <n v="12274428"/>
        <n v="12000000"/>
        <n v="11800000"/>
        <n v="11500000"/>
        <n v="11083333"/>
        <n v="11000000"/>
        <n v="10850000"/>
        <n v="10800000"/>
        <n v="10700000"/>
        <n v="10575000"/>
        <n v="10500000"/>
        <n v="10000000"/>
        <n v="9800000"/>
        <n v="9333333"/>
        <n v="9250000"/>
        <n v="9225000"/>
        <n v="9214285"/>
        <n v="9166667"/>
        <n v="9166666"/>
        <n v="9000000"/>
        <n v="8854712"/>
        <n v="8850000"/>
        <n v="8833333"/>
        <n v="8750000"/>
        <n v="8700000"/>
        <n v="8500000"/>
        <n v="8333333"/>
        <n v="8250000"/>
        <n v="8166666"/>
        <n v="8125000"/>
        <n v="8000000"/>
        <n v="7937500"/>
        <n v="7925000"/>
        <n v="7900000"/>
        <n v="7833333"/>
        <n v="7750000"/>
        <n v="7666667"/>
        <n v="7666666"/>
        <n v="7500000"/>
        <n v="7400000"/>
        <n v="7333333"/>
        <n v="7300000"/>
        <n v="7285714"/>
        <n v="7050000"/>
        <n v="7000000"/>
        <n v="6825000"/>
        <n v="6750000"/>
        <n v="6700000"/>
        <n v="6525000"/>
        <n v="6500000"/>
        <n v="6475000"/>
        <n v="6458333"/>
        <n v="6346755"/>
        <n v="6300000"/>
        <n v="6275000"/>
        <n v="6250000"/>
        <n v="6100000"/>
        <n v="6083333"/>
        <n v="6050000"/>
        <n v="6033333"/>
        <n v="6000000"/>
        <n v="5950000"/>
        <n v="5900000"/>
        <n v="5850000"/>
        <n v="5750000"/>
        <n v="5700000"/>
        <n v="5625000"/>
        <n v="5600000"/>
        <n v="5587500"/>
        <n v="5550000"/>
        <n v="5500000"/>
        <n v="5333333"/>
        <n v="5300000"/>
        <n v="5214285"/>
        <n v="5165000"/>
        <n v="5125000"/>
        <n v="5100000"/>
        <n v="5000000"/>
        <n v="4900000"/>
        <n v="4850000"/>
        <n v="4825000"/>
        <n v="4750000"/>
        <n v="4700000"/>
        <n v="4666666"/>
        <n v="4600000"/>
        <n v="4500000"/>
        <n v="4450000"/>
        <n v="4437500"/>
        <n v="4425000"/>
        <n v="4416666"/>
        <n v="4275000"/>
        <n v="4250000"/>
        <n v="4200000"/>
        <n v="4175000"/>
        <n v="4125000"/>
        <n v="4000000"/>
        <n v="3975000"/>
        <n v="3950000"/>
        <n v="3900000"/>
        <n v="3825000"/>
        <n v="3750000"/>
        <n v="3700000"/>
        <n v="3650000"/>
        <n v="3550000"/>
        <n v="3500000"/>
        <n v="3475000"/>
        <n v="3450000"/>
        <n v="3400000"/>
        <n v="3375000"/>
        <n v="3350000"/>
        <n v="3333333"/>
        <n v="3315000"/>
        <n v="3300000"/>
        <n v="3250000"/>
        <n v="3200000"/>
        <n v="3125000"/>
        <n v="3065000"/>
        <n v="3062500"/>
        <n v="3000000"/>
        <n v="2975000"/>
        <n v="2950000"/>
        <n v="2916666"/>
        <n v="2900000"/>
        <n v="2860000"/>
        <n v="2828600"/>
        <n v="2825000"/>
        <n v="2800000"/>
        <n v="2750000"/>
        <n v="2725000"/>
        <n v="2712500"/>
        <n v="2700000"/>
        <n v="2600000"/>
        <n v="2550000"/>
        <n v="2525000"/>
        <n v="2500000"/>
        <n v="2450000"/>
        <n v="2440000"/>
        <n v="2400000"/>
        <n v="2375000"/>
        <n v="2360000"/>
        <n v="2350000"/>
        <n v="2300000"/>
        <n v="2250000"/>
        <n v="2225000"/>
        <n v="2200000"/>
        <n v="2170000"/>
        <n v="2150000"/>
        <n v="2125000"/>
        <n v="2050000"/>
        <n v="2000000"/>
        <n v="1975000"/>
        <n v="1950000"/>
        <n v="1925000"/>
        <n v="1900000"/>
        <n v="1875000"/>
        <n v="1850000"/>
        <n v="1812500"/>
        <n v="1800000"/>
        <n v="1750000"/>
        <n v="1700000"/>
        <n v="1675000"/>
        <n v="1640000"/>
        <n v="1625000"/>
        <n v="1600000"/>
        <n v="1550000"/>
        <n v="1500000"/>
        <n v="1450000"/>
        <n v="1375000"/>
        <n v="1312500"/>
        <n v="1300000"/>
        <n v="1287500"/>
        <n v="1275000"/>
        <n v="1250000"/>
        <n v="1200000"/>
        <n v="1195000"/>
        <n v="1180000"/>
        <n v="1175000"/>
        <n v="1166666"/>
        <n v="1150000"/>
        <n v="1113000"/>
        <n v="1100000"/>
        <n v="1090000"/>
        <n v="1075000"/>
        <n v="1062500"/>
        <n v="1050000"/>
        <n v="1000000"/>
        <n v="950000"/>
        <n v="930000"/>
        <n v="925000"/>
        <n v="905000"/>
        <n v="900000"/>
        <n v="870000"/>
        <n v="860000"/>
        <n v="850000"/>
        <n v="820000"/>
        <n v="805000"/>
        <n v="800000"/>
        <n v="782000"/>
        <n v="775000"/>
        <n v="750000"/>
        <n v="720000"/>
        <n v="690000"/>
        <n v="657000"/>
        <n v="650000"/>
        <n v="645000"/>
        <n v="630000"/>
        <n v="623200"/>
        <n v="622300"/>
        <n v="621900"/>
        <n v="620500"/>
        <n v="620400"/>
        <n v="615500"/>
        <n v="611250"/>
        <n v="610000"/>
        <n v="605094"/>
        <n v="605000"/>
        <n v="604975"/>
        <n v="604500"/>
        <n v="602500"/>
        <n v="600000"/>
        <n v="599200"/>
        <n v="599000"/>
        <n v="594000"/>
        <n v="587500"/>
        <n v="585000"/>
        <n v="584500"/>
        <n v="582500"/>
        <n v="582000"/>
        <n v="581900"/>
        <n v="581500"/>
        <n v="580450"/>
        <n v="580000"/>
        <n v="579200"/>
        <n v="577500"/>
        <n v="577200"/>
        <n v="577000"/>
        <n v="575500"/>
        <n v="575200"/>
        <n v="575000"/>
        <n v="574700"/>
        <n v="574000"/>
        <n v="573500"/>
        <n v="573000"/>
        <n v="572500"/>
        <n v="572400"/>
        <n v="572000"/>
        <n v="571000"/>
        <n v="570800"/>
        <n v="570750"/>
        <n v="570500"/>
        <n v="570100"/>
        <n v="570000"/>
        <n v="569600"/>
        <n v="569500"/>
        <n v="568500"/>
        <n v="568450"/>
        <n v="568000"/>
        <n v="567900"/>
        <n v="567700"/>
        <n v="567400"/>
        <n v="567000"/>
        <n v="566800"/>
        <n v="566500"/>
        <n v="565900"/>
        <n v="565000"/>
        <n v="564800"/>
        <n v="564500"/>
        <n v="564000"/>
        <n v="563560"/>
        <n v="563500"/>
        <n v="562375"/>
        <n v="562000"/>
        <n v="561900"/>
        <n v="561600"/>
        <n v="561500"/>
        <n v="561400"/>
        <n v="561000"/>
        <n v="560400"/>
        <n v="560300"/>
        <n v="560200"/>
        <n v="560100"/>
        <n v="560000"/>
        <n v="559600"/>
        <n v="559200"/>
        <n v="559000"/>
        <n v="558900"/>
        <n v="558600"/>
        <n v="558500"/>
        <n v="558400"/>
        <n v="558200"/>
        <n v="558100"/>
        <n v="558025"/>
        <n v="558000"/>
        <n v="557900"/>
        <n v="557500"/>
        <n v="557471"/>
        <n v="557200"/>
        <n v="557100"/>
        <n v="557000"/>
        <n v="556900"/>
        <n v="556500"/>
        <n v="556400"/>
        <n v="556200"/>
        <n v="556000"/>
        <n v="555968"/>
        <n v="555950"/>
        <n v="555700"/>
        <n v="555600"/>
        <n v="555300"/>
        <n v="555000"/>
        <n v="554800"/>
        <n v="554600"/>
        <n v="554400"/>
        <n v="554300"/>
        <n v="554250"/>
        <n v="554000"/>
        <n v="553900"/>
        <n v="553850"/>
        <n v="553800"/>
        <n v="553600"/>
        <n v="553500"/>
        <n v="553250"/>
        <n v="553100"/>
        <n v="553000"/>
        <n v="552800"/>
        <n v="552700"/>
        <n v="552500"/>
        <n v="552450"/>
        <n v="552300"/>
        <n v="552000"/>
        <n v="551700"/>
        <n v="551600"/>
        <n v="551500"/>
        <n v="551400"/>
        <n v="551300"/>
        <n v="551200"/>
        <n v="551000"/>
        <n v="550800"/>
        <n v="550700"/>
        <n v="550400"/>
        <n v="550300"/>
        <n v="550200"/>
        <n v="550100"/>
        <n v="550000"/>
        <n v="549900"/>
        <n v="549800"/>
        <n v="549500"/>
        <n v="549400"/>
        <n v="549000"/>
        <n v="548940"/>
        <n v="548600"/>
        <n v="548500"/>
        <n v="548300"/>
        <n v="548100"/>
        <n v="548000"/>
        <n v="547990"/>
        <n v="547800"/>
        <n v="547600"/>
        <n v="547500"/>
        <n v="547200"/>
        <n v="547125"/>
        <n v="547000"/>
        <n v="546900"/>
        <n v="546800"/>
        <n v="546625"/>
        <n v="546500"/>
        <n v="546400"/>
        <n v="546200"/>
        <n v="546000"/>
        <n v="545800"/>
        <n v="545700"/>
        <n v="545650"/>
        <n v="545600"/>
        <n v="545500"/>
        <n v="545400"/>
        <n v="5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7">
  <r>
    <s v="Mike Trout"/>
    <x v="0"/>
    <x v="0"/>
    <n v="3"/>
    <n v="6"/>
    <x v="0"/>
  </r>
  <r>
    <s v="Clayton Kershaw"/>
    <x v="1"/>
    <x v="1"/>
    <n v="4"/>
    <n v="8"/>
    <x v="1"/>
  </r>
  <r>
    <s v="Zack Greinke"/>
    <x v="2"/>
    <x v="1"/>
    <n v="5"/>
    <n v="10"/>
    <x v="2"/>
  </r>
  <r>
    <s v="Miguel Cabrera"/>
    <x v="3"/>
    <x v="2"/>
    <n v="5"/>
    <n v="10"/>
    <x v="3"/>
  </r>
  <r>
    <s v="David Price"/>
    <x v="4"/>
    <x v="1"/>
    <n v="6"/>
    <n v="12"/>
    <x v="3"/>
  </r>
  <r>
    <s v="Jake Arrieta"/>
    <x v="5"/>
    <x v="1"/>
    <n v="8"/>
    <n v="16"/>
    <x v="3"/>
  </r>
  <r>
    <s v="Yoenis Cespedes"/>
    <x v="6"/>
    <x v="0"/>
    <n v="3"/>
    <n v="6"/>
    <x v="4"/>
  </r>
  <r>
    <s v="Justin Verlander"/>
    <x v="7"/>
    <x v="1"/>
    <n v="4"/>
    <n v="8"/>
    <x v="5"/>
  </r>
  <r>
    <s v="Jon Lester"/>
    <x v="8"/>
    <x v="1"/>
    <n v="8"/>
    <n v="16"/>
    <x v="6"/>
  </r>
  <r>
    <s v="Albert Pujols"/>
    <x v="9"/>
    <x v="2"/>
    <n v="7"/>
    <n v="14"/>
    <x v="7"/>
  </r>
  <r>
    <s v="Felix Hernandez"/>
    <x v="10"/>
    <x v="1"/>
    <n v="5"/>
    <n v="10"/>
    <x v="8"/>
  </r>
  <r>
    <s v="Jason Heyward"/>
    <x v="8"/>
    <x v="0"/>
    <n v="4"/>
    <n v="8"/>
    <x v="9"/>
  </r>
  <r>
    <s v="Giancarlo Stanton"/>
    <x v="11"/>
    <x v="0"/>
    <n v="3"/>
    <n v="6"/>
    <x v="10"/>
  </r>
  <r>
    <s v="Joey Votto"/>
    <x v="12"/>
    <x v="2"/>
    <n v="3"/>
    <n v="6"/>
    <x v="11"/>
  </r>
  <r>
    <s v="Yu Darvish"/>
    <x v="8"/>
    <x v="1"/>
    <n v="2"/>
    <n v="4"/>
    <x v="11"/>
  </r>
  <r>
    <s v="Robinson Cano"/>
    <x v="10"/>
    <x v="3"/>
    <n v="5"/>
    <n v="10"/>
    <x v="12"/>
  </r>
  <r>
    <s v="Jordan Zimmermann"/>
    <x v="3"/>
    <x v="1"/>
    <n v="7"/>
    <n v="14"/>
    <x v="12"/>
  </r>
  <r>
    <s v="J.D. Martinez"/>
    <x v="4"/>
    <x v="0"/>
    <n v="3"/>
    <n v="6"/>
    <x v="13"/>
  </r>
  <r>
    <s v="Joe Mauer"/>
    <x v="13"/>
    <x v="2"/>
    <n v="7"/>
    <n v="14"/>
    <x v="14"/>
  </r>
  <r>
    <s v="Josh Donaldson"/>
    <x v="14"/>
    <x v="4"/>
    <n v="7"/>
    <n v="14"/>
    <x v="14"/>
  </r>
  <r>
    <s v="Hanley Ramirez"/>
    <x v="4"/>
    <x v="2"/>
    <n v="8"/>
    <n v="16"/>
    <x v="15"/>
  </r>
  <r>
    <s v="Johnny Cueto"/>
    <x v="15"/>
    <x v="1"/>
    <n v="4"/>
    <n v="8"/>
    <x v="16"/>
  </r>
  <r>
    <s v="Cole Hamels"/>
    <x v="16"/>
    <x v="1"/>
    <n v="5"/>
    <n v="10"/>
    <x v="17"/>
  </r>
  <r>
    <s v="Adrian Gonzalez"/>
    <x v="6"/>
    <x v="2"/>
    <n v="6"/>
    <n v="12"/>
    <x v="18"/>
  </r>
  <r>
    <s v="Buster Posey"/>
    <x v="15"/>
    <x v="5"/>
    <n v="2"/>
    <n v="4"/>
    <x v="19"/>
  </r>
  <r>
    <s v="Max Scherzer"/>
    <x v="17"/>
    <x v="1"/>
    <n v="4"/>
    <n v="8"/>
    <x v="20"/>
  </r>
  <r>
    <s v="Masahiro Tanaka"/>
    <x v="11"/>
    <x v="1"/>
    <n v="5"/>
    <n v="10"/>
    <x v="21"/>
  </r>
  <r>
    <s v="Ian Desmond"/>
    <x v="18"/>
    <x v="2"/>
    <n v="6"/>
    <n v="12"/>
    <x v="21"/>
  </r>
  <r>
    <s v="Yadier Molina"/>
    <x v="19"/>
    <x v="5"/>
    <n v="2"/>
    <n v="4"/>
    <x v="21"/>
  </r>
  <r>
    <s v="Jacoby Ellsbury"/>
    <x v="11"/>
    <x v="0"/>
    <n v="1"/>
    <n v="2"/>
    <x v="22"/>
  </r>
  <r>
    <s v="Eric Hosmer"/>
    <x v="20"/>
    <x v="2"/>
    <n v="8"/>
    <n v="16"/>
    <x v="23"/>
  </r>
  <r>
    <s v="Bryce Harper"/>
    <x v="17"/>
    <x v="0"/>
    <n v="2"/>
    <n v="4"/>
    <x v="23"/>
  </r>
  <r>
    <s v="Matt Kemp"/>
    <x v="1"/>
    <x v="0"/>
    <n v="5"/>
    <n v="10"/>
    <x v="24"/>
  </r>
  <r>
    <s v="Freddie Freeman"/>
    <x v="21"/>
    <x v="2"/>
    <n v="2"/>
    <n v="4"/>
    <x v="25"/>
  </r>
  <r>
    <s v="James Shields"/>
    <x v="22"/>
    <x v="1"/>
    <n v="8"/>
    <n v="16"/>
    <x v="26"/>
  </r>
  <r>
    <s v="Chris Davis"/>
    <x v="23"/>
    <x v="2"/>
    <n v="5"/>
    <n v="10"/>
    <x v="27"/>
  </r>
  <r>
    <s v="Rick Porcello"/>
    <x v="4"/>
    <x v="1"/>
    <n v="2"/>
    <n v="4"/>
    <x v="28"/>
  </r>
  <r>
    <s v="Homer Bailey"/>
    <x v="12"/>
    <x v="1"/>
    <n v="2"/>
    <n v="4"/>
    <x v="29"/>
  </r>
  <r>
    <s v="Alex Gordon"/>
    <x v="24"/>
    <x v="0"/>
    <n v="2"/>
    <n v="4"/>
    <x v="29"/>
  </r>
  <r>
    <s v="Troy Tulowitzki"/>
    <x v="14"/>
    <x v="6"/>
    <n v="5"/>
    <n v="10"/>
    <x v="30"/>
  </r>
  <r>
    <s v="Shin-Soo Choo"/>
    <x v="16"/>
    <x v="0"/>
    <n v="6"/>
    <n v="12"/>
    <x v="30"/>
  </r>
  <r>
    <s v="Russell Martin"/>
    <x v="14"/>
    <x v="5"/>
    <n v="8"/>
    <n v="16"/>
    <x v="30"/>
  </r>
  <r>
    <s v="Jeff Samardzija"/>
    <x v="15"/>
    <x v="1"/>
    <n v="4"/>
    <n v="8"/>
    <x v="31"/>
  </r>
  <r>
    <s v="Pablo Sandoval"/>
    <x v="15"/>
    <x v="4"/>
    <n v="5"/>
    <n v="10"/>
    <x v="32"/>
  </r>
  <r>
    <s v="Adam Wainwright"/>
    <x v="19"/>
    <x v="1"/>
    <n v="4"/>
    <n v="8"/>
    <x v="33"/>
  </r>
  <r>
    <s v="David Wright"/>
    <x v="6"/>
    <x v="4"/>
    <n v="3"/>
    <n v="6"/>
    <x v="34"/>
  </r>
  <r>
    <s v="Ryan Braun"/>
    <x v="25"/>
    <x v="0"/>
    <n v="3"/>
    <n v="6"/>
    <x v="35"/>
  </r>
  <r>
    <s v="Kyle Seager"/>
    <x v="10"/>
    <x v="4"/>
    <n v="1"/>
    <n v="2"/>
    <x v="36"/>
  </r>
  <r>
    <s v="Hunter Pence"/>
    <x v="15"/>
    <x v="0"/>
    <n v="2"/>
    <n v="4"/>
    <x v="37"/>
  </r>
  <r>
    <s v="Edwin Encarnacion"/>
    <x v="26"/>
    <x v="7"/>
    <n v="1"/>
    <n v="2"/>
    <x v="38"/>
  </r>
  <r>
    <s v="Carlos Santana"/>
    <x v="5"/>
    <x v="2"/>
    <n v="3"/>
    <n v="6"/>
    <x v="39"/>
  </r>
  <r>
    <s v="Mike Leake"/>
    <x v="10"/>
    <x v="1"/>
    <n v="4"/>
    <n v="8"/>
    <x v="40"/>
  </r>
  <r>
    <s v="Victor Martinez"/>
    <x v="3"/>
    <x v="7"/>
    <n v="2"/>
    <n v="4"/>
    <x v="40"/>
  </r>
  <r>
    <s v="Adrian Beltre"/>
    <x v="16"/>
    <x v="4"/>
    <n v="2"/>
    <n v="4"/>
    <x v="40"/>
  </r>
  <r>
    <s v="Nolan Arenado"/>
    <x v="18"/>
    <x v="4"/>
    <n v="4"/>
    <n v="8"/>
    <x v="41"/>
  </r>
  <r>
    <s v="Justin Upton"/>
    <x v="9"/>
    <x v="0"/>
    <n v="2"/>
    <n v="4"/>
    <x v="42"/>
  </r>
  <r>
    <s v="Daniel Murphy"/>
    <x v="17"/>
    <x v="3"/>
    <n v="3"/>
    <n v="6"/>
    <x v="43"/>
  </r>
  <r>
    <s v="Adam Jones"/>
    <x v="23"/>
    <x v="0"/>
    <n v="3"/>
    <n v="6"/>
    <x v="44"/>
  </r>
  <r>
    <s v="Aroldis Chapman"/>
    <x v="11"/>
    <x v="1"/>
    <n v="4"/>
    <n v="8"/>
    <x v="45"/>
  </r>
  <r>
    <s v="Brandon Belt"/>
    <x v="15"/>
    <x v="2"/>
    <n v="6"/>
    <n v="12"/>
    <x v="45"/>
  </r>
  <r>
    <s v="Brian McCann"/>
    <x v="7"/>
    <x v="5"/>
    <n v="2"/>
    <n v="4"/>
    <x v="46"/>
  </r>
  <r>
    <s v="Rich Hill"/>
    <x v="1"/>
    <x v="1"/>
    <n v="4"/>
    <n v="8"/>
    <x v="47"/>
  </r>
  <r>
    <s v="Dexter Fowler"/>
    <x v="19"/>
    <x v="0"/>
    <n v="6"/>
    <n v="12"/>
    <x v="48"/>
  </r>
  <r>
    <s v="Ben Zobrist"/>
    <x v="8"/>
    <x v="3"/>
    <n v="1"/>
    <n v="2"/>
    <x v="48"/>
  </r>
  <r>
    <s v="Stephen Strasburg"/>
    <x v="17"/>
    <x v="1"/>
    <n v="2"/>
    <n v="4"/>
    <x v="49"/>
  </r>
  <r>
    <s v="Wade Davis"/>
    <x v="18"/>
    <x v="1"/>
    <n v="3"/>
    <n v="6"/>
    <x v="50"/>
  </r>
  <r>
    <s v="Ian Kennedy"/>
    <x v="24"/>
    <x v="1"/>
    <n v="1"/>
    <n v="2"/>
    <x v="51"/>
  </r>
  <r>
    <s v="Manny Machado"/>
    <x v="23"/>
    <x v="6"/>
    <n v="1"/>
    <n v="2"/>
    <x v="51"/>
  </r>
  <r>
    <s v="Dustin Pedroia"/>
    <x v="4"/>
    <x v="3"/>
    <n v="3"/>
    <n v="6"/>
    <x v="52"/>
  </r>
  <r>
    <s v="Elvis Andrus"/>
    <x v="16"/>
    <x v="6"/>
    <n v="4"/>
    <n v="8"/>
    <x v="53"/>
  </r>
  <r>
    <s v="Brandon Crawford"/>
    <x v="15"/>
    <x v="6"/>
    <n v="6"/>
    <n v="12"/>
    <x v="54"/>
  </r>
  <r>
    <s v="Mark Melancon"/>
    <x v="15"/>
    <x v="1"/>
    <n v="3"/>
    <n v="6"/>
    <x v="55"/>
  </r>
  <r>
    <s v="Andrew McCutchen"/>
    <x v="15"/>
    <x v="0"/>
    <n v="1"/>
    <n v="2"/>
    <x v="56"/>
  </r>
  <r>
    <s v="Evan Longoria"/>
    <x v="15"/>
    <x v="4"/>
    <n v="3"/>
    <n v="6"/>
    <x v="57"/>
  </r>
  <r>
    <s v="Ryan Zimmerman"/>
    <x v="17"/>
    <x v="2"/>
    <n v="3"/>
    <n v="6"/>
    <x v="58"/>
  </r>
  <r>
    <s v="Nelson Cruz"/>
    <x v="10"/>
    <x v="7"/>
    <n v="4"/>
    <n v="8"/>
    <x v="59"/>
  </r>
  <r>
    <s v="Matt Carpenter"/>
    <x v="19"/>
    <x v="2"/>
    <n v="8"/>
    <n v="16"/>
    <x v="60"/>
  </r>
  <r>
    <s v="Lorenzo Cain"/>
    <x v="25"/>
    <x v="0"/>
    <n v="9"/>
    <n v="18"/>
    <x v="61"/>
  </r>
  <r>
    <s v="Danny Duffy"/>
    <x v="24"/>
    <x v="1"/>
    <n v="6"/>
    <n v="12"/>
    <x v="61"/>
  </r>
  <r>
    <s v="Alex Cobb"/>
    <x v="23"/>
    <x v="1"/>
    <n v="4"/>
    <n v="8"/>
    <x v="61"/>
  </r>
  <r>
    <s v="Charlie Blackmon"/>
    <x v="18"/>
    <x v="0"/>
    <n v="9"/>
    <n v="18"/>
    <x v="61"/>
  </r>
  <r>
    <s v="Craig Kimbrel"/>
    <x v="4"/>
    <x v="1"/>
    <n v="6"/>
    <n v="12"/>
    <x v="62"/>
  </r>
  <r>
    <s v="Jason Kipnis"/>
    <x v="26"/>
    <x v="3"/>
    <n v="8"/>
    <n v="16"/>
    <x v="63"/>
  </r>
  <r>
    <s v="Ervin Santana"/>
    <x v="13"/>
    <x v="1"/>
    <n v="5"/>
    <n v="10"/>
    <x v="64"/>
  </r>
  <r>
    <s v="Martin Prado"/>
    <x v="27"/>
    <x v="4"/>
    <n v="4"/>
    <n v="8"/>
    <x v="64"/>
  </r>
  <r>
    <s v="Phil Hughes"/>
    <x v="13"/>
    <x v="1"/>
    <n v="5"/>
    <n v="10"/>
    <x v="65"/>
  </r>
  <r>
    <s v="Dallas Keuchel"/>
    <x v="7"/>
    <x v="1"/>
    <n v="5"/>
    <n v="10"/>
    <x v="65"/>
  </r>
  <r>
    <s v="Devin Mesoraco"/>
    <x v="12"/>
    <x v="5"/>
    <n v="6"/>
    <n v="12"/>
    <x v="66"/>
  </r>
  <r>
    <s v="Chase Headley"/>
    <x v="20"/>
    <x v="4"/>
    <n v="2"/>
    <n v="4"/>
    <x v="67"/>
  </r>
  <r>
    <s v="Josh Reddick"/>
    <x v="7"/>
    <x v="0"/>
    <n v="2"/>
    <n v="4"/>
    <x v="67"/>
  </r>
  <r>
    <s v="David Robertson"/>
    <x v="11"/>
    <x v="1"/>
    <n v="2"/>
    <n v="4"/>
    <x v="67"/>
  </r>
  <r>
    <s v="J.A. Happ"/>
    <x v="14"/>
    <x v="1"/>
    <n v="1"/>
    <n v="2"/>
    <x v="67"/>
  </r>
  <r>
    <s v="Jose Abreu"/>
    <x v="22"/>
    <x v="2"/>
    <n v="2"/>
    <n v="4"/>
    <x v="67"/>
  </r>
  <r>
    <s v="Marco Estrada"/>
    <x v="14"/>
    <x v="1"/>
    <n v="2"/>
    <n v="4"/>
    <x v="67"/>
  </r>
  <r>
    <s v="Zack Cozart"/>
    <x v="9"/>
    <x v="4"/>
    <n v="2"/>
    <n v="4"/>
    <x v="68"/>
  </r>
  <r>
    <s v="Tyler Chatwood"/>
    <x v="8"/>
    <x v="1"/>
    <n v="2"/>
    <n v="4"/>
    <x v="69"/>
  </r>
  <r>
    <s v="Chris Sale"/>
    <x v="4"/>
    <x v="1"/>
    <n v="2"/>
    <n v="4"/>
    <x v="69"/>
  </r>
  <r>
    <s v="Denard Span"/>
    <x v="28"/>
    <x v="0"/>
    <n v="2"/>
    <n v="4"/>
    <x v="70"/>
  </r>
  <r>
    <s v="Anthony Rendon"/>
    <x v="17"/>
    <x v="4"/>
    <n v="3"/>
    <n v="6"/>
    <x v="71"/>
  </r>
  <r>
    <s v="Mark Trumbo"/>
    <x v="23"/>
    <x v="7"/>
    <n v="1"/>
    <n v="2"/>
    <x v="72"/>
  </r>
  <r>
    <s v="Justin Turner"/>
    <x v="1"/>
    <x v="4"/>
    <n v="2"/>
    <n v="4"/>
    <x v="73"/>
  </r>
  <r>
    <s v="Brett Gardner"/>
    <x v="11"/>
    <x v="0"/>
    <n v="5"/>
    <n v="10"/>
    <x v="73"/>
  </r>
  <r>
    <s v="Yulieski Gurriel"/>
    <x v="7"/>
    <x v="2"/>
    <n v="4"/>
    <n v="8"/>
    <x v="73"/>
  </r>
  <r>
    <s v="George Springer"/>
    <x v="7"/>
    <x v="0"/>
    <n v="6"/>
    <n v="12"/>
    <x v="73"/>
  </r>
  <r>
    <s v="Gio Gonzalez"/>
    <x v="17"/>
    <x v="1"/>
    <n v="4"/>
    <n v="8"/>
    <x v="73"/>
  </r>
  <r>
    <s v="Lance Lynn"/>
    <x v="13"/>
    <x v="1"/>
    <n v="5"/>
    <n v="10"/>
    <x v="73"/>
  </r>
  <r>
    <s v="Madison Bumgarner"/>
    <x v="15"/>
    <x v="1"/>
    <n v="6"/>
    <n v="12"/>
    <x v="73"/>
  </r>
  <r>
    <s v="Michael Brantley"/>
    <x v="26"/>
    <x v="0"/>
    <n v="4"/>
    <n v="8"/>
    <x v="73"/>
  </r>
  <r>
    <s v="Zach Britton"/>
    <x v="23"/>
    <x v="1"/>
    <n v="5"/>
    <n v="10"/>
    <x v="73"/>
  </r>
  <r>
    <s v="Carlos Martinez"/>
    <x v="19"/>
    <x v="1"/>
    <n v="8"/>
    <n v="16"/>
    <x v="74"/>
  </r>
  <r>
    <s v="Brandon McCarthy"/>
    <x v="21"/>
    <x v="1"/>
    <n v="4"/>
    <n v="8"/>
    <x v="75"/>
  </r>
  <r>
    <s v="Paul Goldschmidt"/>
    <x v="2"/>
    <x v="2"/>
    <n v="6"/>
    <n v="12"/>
    <x v="76"/>
  </r>
  <r>
    <s v="Starlin Castro"/>
    <x v="27"/>
    <x v="3"/>
    <n v="1"/>
    <n v="2"/>
    <x v="77"/>
  </r>
  <r>
    <s v="Andrelton Simmons"/>
    <x v="9"/>
    <x v="6"/>
    <n v="7"/>
    <n v="14"/>
    <x v="77"/>
  </r>
  <r>
    <s v="Dee Gordon"/>
    <x v="10"/>
    <x v="0"/>
    <n v="8"/>
    <n v="16"/>
    <x v="77"/>
  </r>
  <r>
    <s v="Nick Markakis"/>
    <x v="21"/>
    <x v="0"/>
    <n v="8"/>
    <n v="16"/>
    <x v="77"/>
  </r>
  <r>
    <s v="Jay Bruce"/>
    <x v="6"/>
    <x v="0"/>
    <n v="1"/>
    <n v="2"/>
    <x v="77"/>
  </r>
  <r>
    <s v="Kendrys Morales"/>
    <x v="14"/>
    <x v="7"/>
    <n v="10"/>
    <n v="20"/>
    <x v="77"/>
  </r>
  <r>
    <s v="Ian Kinsler"/>
    <x v="9"/>
    <x v="3"/>
    <n v="4"/>
    <n v="8"/>
    <x v="77"/>
  </r>
  <r>
    <s v="Kris Bryant"/>
    <x v="8"/>
    <x v="4"/>
    <n v="4"/>
    <n v="8"/>
    <x v="78"/>
  </r>
  <r>
    <s v="Kenley Jansen"/>
    <x v="1"/>
    <x v="1"/>
    <n v="5"/>
    <n v="10"/>
    <x v="79"/>
  </r>
  <r>
    <s v="Corey Kluber"/>
    <x v="26"/>
    <x v="1"/>
    <n v="6"/>
    <n v="12"/>
    <x v="80"/>
  </r>
  <r>
    <s v="Cody Allen"/>
    <x v="26"/>
    <x v="1"/>
    <n v="4"/>
    <n v="8"/>
    <x v="81"/>
  </r>
  <r>
    <s v="Francisco Cervelli"/>
    <x v="29"/>
    <x v="5"/>
    <n v="9"/>
    <n v="18"/>
    <x v="82"/>
  </r>
  <r>
    <s v="Josh Harrison"/>
    <x v="29"/>
    <x v="3"/>
    <n v="6"/>
    <n v="12"/>
    <x v="82"/>
  </r>
  <r>
    <s v="Brandon Morrow"/>
    <x v="8"/>
    <x v="1"/>
    <n v="7"/>
    <n v="14"/>
    <x v="82"/>
  </r>
  <r>
    <s v="Khris Davis"/>
    <x v="30"/>
    <x v="0"/>
    <n v="9"/>
    <n v="18"/>
    <x v="82"/>
  </r>
  <r>
    <s v="Matt Wieters"/>
    <x v="17"/>
    <x v="5"/>
    <n v="6"/>
    <n v="12"/>
    <x v="82"/>
  </r>
  <r>
    <s v="Mookie Betts"/>
    <x v="4"/>
    <x v="0"/>
    <n v="4"/>
    <n v="8"/>
    <x v="82"/>
  </r>
  <r>
    <s v="Wei-Yin Chen"/>
    <x v="27"/>
    <x v="1"/>
    <n v="6"/>
    <n v="12"/>
    <x v="83"/>
  </r>
  <r>
    <s v="Gerardo Parra"/>
    <x v="18"/>
    <x v="0"/>
    <n v="4"/>
    <n v="8"/>
    <x v="83"/>
  </r>
  <r>
    <s v="Jason Hammel"/>
    <x v="24"/>
    <x v="1"/>
    <n v="6"/>
    <n v="12"/>
    <x v="83"/>
  </r>
  <r>
    <s v="CC Sabathia"/>
    <x v="11"/>
    <x v="1"/>
    <n v="7"/>
    <n v="14"/>
    <x v="83"/>
  </r>
  <r>
    <s v="Jaime Garcia"/>
    <x v="14"/>
    <x v="1"/>
    <n v="8"/>
    <n v="16"/>
    <x v="83"/>
  </r>
  <r>
    <s v="Jean Segura"/>
    <x v="10"/>
    <x v="6"/>
    <n v="11"/>
    <n v="22"/>
    <x v="84"/>
  </r>
  <r>
    <s v="Joakim Soria"/>
    <x v="22"/>
    <x v="1"/>
    <n v="7"/>
    <n v="14"/>
    <x v="85"/>
  </r>
  <r>
    <s v="Matt Moore"/>
    <x v="16"/>
    <x v="1"/>
    <n v="6"/>
    <n v="12"/>
    <x v="86"/>
  </r>
  <r>
    <s v="AJ Ramos"/>
    <x v="6"/>
    <x v="1"/>
    <n v="5"/>
    <n v="10"/>
    <x v="87"/>
  </r>
  <r>
    <s v="Yasiel Puig"/>
    <x v="1"/>
    <x v="0"/>
    <n v="4"/>
    <n v="8"/>
    <x v="88"/>
  </r>
  <r>
    <s v="Ivan Nova"/>
    <x v="29"/>
    <x v="1"/>
    <n v="2"/>
    <n v="4"/>
    <x v="89"/>
  </r>
  <r>
    <s v="Jedd Gyorko"/>
    <x v="19"/>
    <x v="4"/>
    <n v="3"/>
    <n v="6"/>
    <x v="90"/>
  </r>
  <r>
    <s v="Jose Altuve"/>
    <x v="7"/>
    <x v="3"/>
    <n v="4"/>
    <n v="8"/>
    <x v="91"/>
  </r>
  <r>
    <s v="Andrew Miller"/>
    <x v="26"/>
    <x v="1"/>
    <n v="9"/>
    <n v="18"/>
    <x v="91"/>
  </r>
  <r>
    <s v="Brian Dozier"/>
    <x v="13"/>
    <x v="3"/>
    <n v="6"/>
    <n v="12"/>
    <x v="91"/>
  </r>
  <r>
    <s v="Tommy Hunter"/>
    <x v="5"/>
    <x v="1"/>
    <n v="3"/>
    <n v="6"/>
    <x v="91"/>
  </r>
  <r>
    <s v="Brad Ziegler"/>
    <x v="27"/>
    <x v="1"/>
    <n v="4"/>
    <n v="8"/>
    <x v="91"/>
  </r>
  <r>
    <s v="Logan Forsythe"/>
    <x v="1"/>
    <x v="3"/>
    <n v="8"/>
    <n v="16"/>
    <x v="91"/>
  </r>
  <r>
    <s v="Marcell Ozuna"/>
    <x v="19"/>
    <x v="0"/>
    <n v="6"/>
    <n v="12"/>
    <x v="91"/>
  </r>
  <r>
    <s v="Darren O'Day"/>
    <x v="23"/>
    <x v="1"/>
    <n v="3"/>
    <n v="6"/>
    <x v="92"/>
  </r>
  <r>
    <s v="Jose Quintana"/>
    <x v="8"/>
    <x v="1"/>
    <n v="4"/>
    <n v="8"/>
    <x v="93"/>
  </r>
  <r>
    <s v="Kole Calhoun"/>
    <x v="9"/>
    <x v="0"/>
    <n v="9"/>
    <n v="18"/>
    <x v="94"/>
  </r>
  <r>
    <s v="Carlos Carrasco"/>
    <x v="26"/>
    <x v="1"/>
    <n v="6"/>
    <n v="12"/>
    <x v="95"/>
  </r>
  <r>
    <s v="Jhoulys Chacin"/>
    <x v="25"/>
    <x v="1"/>
    <n v="8"/>
    <n v="16"/>
    <x v="95"/>
  </r>
  <r>
    <s v="Salvador Perez"/>
    <x v="24"/>
    <x v="5"/>
    <n v="3"/>
    <n v="6"/>
    <x v="96"/>
  </r>
  <r>
    <s v="Wilson Ramos"/>
    <x v="28"/>
    <x v="5"/>
    <n v="4"/>
    <n v="8"/>
    <x v="97"/>
  </r>
  <r>
    <s v="DJ LeMahieu"/>
    <x v="18"/>
    <x v="3"/>
    <n v="8"/>
    <n v="16"/>
    <x v="97"/>
  </r>
  <r>
    <s v="Drew Pomeranz"/>
    <x v="4"/>
    <x v="1"/>
    <n v="7"/>
    <n v="14"/>
    <x v="97"/>
  </r>
  <r>
    <s v="Jonathan Schoop"/>
    <x v="23"/>
    <x v="3"/>
    <n v="5"/>
    <n v="10"/>
    <x v="97"/>
  </r>
  <r>
    <s v="Mike Minor"/>
    <x v="16"/>
    <x v="1"/>
    <n v="4"/>
    <n v="8"/>
    <x v="98"/>
  </r>
  <r>
    <s v="Addison Reed"/>
    <x v="13"/>
    <x v="1"/>
    <n v="3"/>
    <n v="6"/>
    <x v="99"/>
  </r>
  <r>
    <s v="Luis Valbuena"/>
    <x v="9"/>
    <x v="2"/>
    <n v="3"/>
    <n v="6"/>
    <x v="99"/>
  </r>
  <r>
    <s v="Asdrubal Cabrera"/>
    <x v="6"/>
    <x v="3"/>
    <n v="2"/>
    <n v="4"/>
    <x v="99"/>
  </r>
  <r>
    <s v="Didi Gregorius"/>
    <x v="11"/>
    <x v="6"/>
    <n v="5"/>
    <n v="10"/>
    <x v="99"/>
  </r>
  <r>
    <s v="Julio Teheran"/>
    <x v="21"/>
    <x v="1"/>
    <n v="7"/>
    <n v="14"/>
    <x v="100"/>
  </r>
  <r>
    <s v="Starling Marte"/>
    <x v="29"/>
    <x v="0"/>
    <n v="3"/>
    <n v="6"/>
    <x v="100"/>
  </r>
  <r>
    <s v="Bryan Shaw"/>
    <x v="18"/>
    <x v="1"/>
    <n v="7"/>
    <n v="14"/>
    <x v="100"/>
  </r>
  <r>
    <s v="Pat Neshek"/>
    <x v="5"/>
    <x v="1"/>
    <n v="7"/>
    <n v="14"/>
    <x v="101"/>
  </r>
  <r>
    <s v="Jason Castro"/>
    <x v="13"/>
    <x v="5"/>
    <n v="8"/>
    <n v="16"/>
    <x v="102"/>
  </r>
  <r>
    <s v="Todd Frazier"/>
    <x v="6"/>
    <x v="4"/>
    <n v="4"/>
    <n v="8"/>
    <x v="102"/>
  </r>
  <r>
    <s v="Kelvin Herrera"/>
    <x v="24"/>
    <x v="1"/>
    <n v="5"/>
    <n v="10"/>
    <x v="103"/>
  </r>
  <r>
    <s v="Jeurys Familia"/>
    <x v="6"/>
    <x v="1"/>
    <n v="6"/>
    <n v="12"/>
    <x v="104"/>
  </r>
  <r>
    <s v="Yasmani Grandal"/>
    <x v="1"/>
    <x v="5"/>
    <n v="2"/>
    <n v="4"/>
    <x v="105"/>
  </r>
  <r>
    <s v="Hyun-Jin Ryu"/>
    <x v="1"/>
    <x v="1"/>
    <n v="4"/>
    <n v="8"/>
    <x v="106"/>
  </r>
  <r>
    <s v="Brett Cecil"/>
    <x v="19"/>
    <x v="1"/>
    <n v="5"/>
    <n v="10"/>
    <x v="107"/>
  </r>
  <r>
    <s v="Juan Nicasio"/>
    <x v="10"/>
    <x v="1"/>
    <n v="6"/>
    <n v="12"/>
    <x v="107"/>
  </r>
  <r>
    <s v="A.J. Pollock"/>
    <x v="2"/>
    <x v="0"/>
    <n v="2"/>
    <n v="4"/>
    <x v="107"/>
  </r>
  <r>
    <s v="Ryan Madson"/>
    <x v="17"/>
    <x v="1"/>
    <n v="1"/>
    <n v="2"/>
    <x v="108"/>
  </r>
  <r>
    <s v="Jake McGee"/>
    <x v="18"/>
    <x v="1"/>
    <n v="8"/>
    <n v="16"/>
    <x v="109"/>
  </r>
  <r>
    <s v="Yonder Alonso"/>
    <x v="26"/>
    <x v="2"/>
    <n v="2"/>
    <n v="4"/>
    <x v="110"/>
  </r>
  <r>
    <s v="Miles Mikolas"/>
    <x v="19"/>
    <x v="1"/>
    <n v="5"/>
    <n v="10"/>
    <x v="110"/>
  </r>
  <r>
    <s v="Welington Castillo"/>
    <x v="22"/>
    <x v="5"/>
    <n v="2"/>
    <n v="4"/>
    <x v="110"/>
  </r>
  <r>
    <s v="Patrick Corbin"/>
    <x v="2"/>
    <x v="1"/>
    <n v="8"/>
    <n v="16"/>
    <x v="110"/>
  </r>
  <r>
    <s v="Jacob deGrom"/>
    <x v="6"/>
    <x v="1"/>
    <n v="5"/>
    <n v="10"/>
    <x v="111"/>
  </r>
  <r>
    <s v="Mike Dunn"/>
    <x v="18"/>
    <x v="1"/>
    <n v="2"/>
    <n v="4"/>
    <x v="112"/>
  </r>
  <r>
    <s v="Garrett Richards"/>
    <x v="9"/>
    <x v="1"/>
    <n v="2"/>
    <n v="4"/>
    <x v="113"/>
  </r>
  <r>
    <s v="Anthony Rizzo"/>
    <x v="8"/>
    <x v="2"/>
    <n v="2"/>
    <n v="4"/>
    <x v="114"/>
  </r>
  <r>
    <s v="Xander Bogaerts"/>
    <x v="4"/>
    <x v="6"/>
    <n v="5"/>
    <n v="10"/>
    <x v="115"/>
  </r>
  <r>
    <s v="Christian Yelich"/>
    <x v="25"/>
    <x v="0"/>
    <n v="6"/>
    <n v="12"/>
    <x v="116"/>
  </r>
  <r>
    <s v="Jason Vargas"/>
    <x v="6"/>
    <x v="1"/>
    <n v="8"/>
    <n v="16"/>
    <x v="116"/>
  </r>
  <r>
    <s v="Joe Smith"/>
    <x v="7"/>
    <x v="1"/>
    <n v="4"/>
    <n v="8"/>
    <x v="116"/>
  </r>
  <r>
    <s v="Charlie Morton"/>
    <x v="7"/>
    <x v="1"/>
    <n v="5"/>
    <n v="10"/>
    <x v="116"/>
  </r>
  <r>
    <s v="Junichi Tazawa"/>
    <x v="27"/>
    <x v="1"/>
    <n v="4"/>
    <n v="8"/>
    <x v="116"/>
  </r>
  <r>
    <s v="Adam Ottavino"/>
    <x v="18"/>
    <x v="1"/>
    <n v="3"/>
    <n v="6"/>
    <x v="116"/>
  </r>
  <r>
    <s v="Jerry Blevins"/>
    <x v="6"/>
    <x v="1"/>
    <n v="3"/>
    <n v="6"/>
    <x v="116"/>
  </r>
  <r>
    <s v="Freddy Galvis"/>
    <x v="20"/>
    <x v="6"/>
    <n v="1"/>
    <n v="2"/>
    <x v="117"/>
  </r>
  <r>
    <s v="Gerrit Cole"/>
    <x v="7"/>
    <x v="1"/>
    <n v="2"/>
    <n v="4"/>
    <x v="118"/>
  </r>
  <r>
    <s v="Jordy Mercer"/>
    <x v="29"/>
    <x v="6"/>
    <n v="1"/>
    <n v="2"/>
    <x v="118"/>
  </r>
  <r>
    <s v="Avisail Garcia"/>
    <x v="22"/>
    <x v="0"/>
    <n v="3"/>
    <n v="6"/>
    <x v="119"/>
  </r>
  <r>
    <s v="Evan Gattis"/>
    <x v="7"/>
    <x v="5"/>
    <n v="4"/>
    <n v="8"/>
    <x v="119"/>
  </r>
  <r>
    <s v="Trevor Bauer"/>
    <x v="26"/>
    <x v="1"/>
    <n v="2"/>
    <n v="4"/>
    <x v="120"/>
  </r>
  <r>
    <s v="Juan Lagares"/>
    <x v="6"/>
    <x v="0"/>
    <n v="2"/>
    <n v="4"/>
    <x v="121"/>
  </r>
  <r>
    <s v="Mitch Moreland"/>
    <x v="4"/>
    <x v="2"/>
    <n v="4"/>
    <n v="8"/>
    <x v="121"/>
  </r>
  <r>
    <s v="Steve Cishek"/>
    <x v="8"/>
    <x v="1"/>
    <n v="2"/>
    <n v="4"/>
    <x v="121"/>
  </r>
  <r>
    <s v="Jonathan Lucroy"/>
    <x v="30"/>
    <x v="5"/>
    <n v="3"/>
    <n v="6"/>
    <x v="121"/>
  </r>
  <r>
    <s v="Logan Morrison"/>
    <x v="13"/>
    <x v="2"/>
    <n v="3"/>
    <n v="6"/>
    <x v="121"/>
  </r>
  <r>
    <s v="Marcus Stroman"/>
    <x v="14"/>
    <x v="1"/>
    <n v="4"/>
    <n v="8"/>
    <x v="121"/>
  </r>
  <r>
    <s v="Mike Moustakas"/>
    <x v="24"/>
    <x v="4"/>
    <n v="6"/>
    <n v="12"/>
    <x v="121"/>
  </r>
  <r>
    <s v="Sonny Gray"/>
    <x v="11"/>
    <x v="1"/>
    <n v="2"/>
    <n v="4"/>
    <x v="121"/>
  </r>
  <r>
    <s v="Tanner Roark"/>
    <x v="17"/>
    <x v="1"/>
    <n v="4"/>
    <n v="8"/>
    <x v="122"/>
  </r>
  <r>
    <s v="Chris Archer"/>
    <x v="28"/>
    <x v="1"/>
    <n v="6"/>
    <n v="12"/>
    <x v="123"/>
  </r>
  <r>
    <s v="Andrew Cashner"/>
    <x v="23"/>
    <x v="1"/>
    <n v="1"/>
    <n v="2"/>
    <x v="124"/>
  </r>
  <r>
    <s v="Adam Eaton"/>
    <x v="17"/>
    <x v="0"/>
    <n v="2"/>
    <n v="4"/>
    <x v="125"/>
  </r>
  <r>
    <s v="Jake Odorizzi"/>
    <x v="13"/>
    <x v="1"/>
    <n v="3"/>
    <n v="6"/>
    <x v="125"/>
  </r>
  <r>
    <s v="Jose Iglesias"/>
    <x v="3"/>
    <x v="6"/>
    <n v="1"/>
    <n v="2"/>
    <x v="126"/>
  </r>
  <r>
    <s v="Steve Pearce"/>
    <x v="14"/>
    <x v="2"/>
    <n v="1"/>
    <n v="2"/>
    <x v="127"/>
  </r>
  <r>
    <s v="Jackie Bradley Jr."/>
    <x v="4"/>
    <x v="0"/>
    <n v="3"/>
    <n v="6"/>
    <x v="128"/>
  </r>
  <r>
    <s v="Kevin Kiermaier"/>
    <x v="28"/>
    <x v="0"/>
    <n v="4"/>
    <n v="8"/>
    <x v="129"/>
  </r>
  <r>
    <s v="Nicholas Castellanos"/>
    <x v="3"/>
    <x v="0"/>
    <n v="6"/>
    <n v="12"/>
    <x v="130"/>
  </r>
  <r>
    <s v="Yan Gomes"/>
    <x v="26"/>
    <x v="5"/>
    <n v="3"/>
    <n v="6"/>
    <x v="131"/>
  </r>
  <r>
    <s v="Tony Sipp"/>
    <x v="7"/>
    <x v="1"/>
    <n v="1"/>
    <n v="2"/>
    <x v="132"/>
  </r>
  <r>
    <s v="Santiago Casilla"/>
    <x v="30"/>
    <x v="1"/>
    <n v="3"/>
    <n v="6"/>
    <x v="132"/>
  </r>
  <r>
    <s v="Alex Wood"/>
    <x v="1"/>
    <x v="1"/>
    <n v="3"/>
    <n v="6"/>
    <x v="132"/>
  </r>
  <r>
    <s v="Eduardo Nunez"/>
    <x v="4"/>
    <x v="3"/>
    <n v="4"/>
    <n v="8"/>
    <x v="132"/>
  </r>
  <r>
    <s v="Jed Lowrie"/>
    <x v="30"/>
    <x v="3"/>
    <n v="8"/>
    <n v="16"/>
    <x v="132"/>
  </r>
  <r>
    <s v="Martin Perez"/>
    <x v="16"/>
    <x v="1"/>
    <n v="9"/>
    <n v="18"/>
    <x v="132"/>
  </r>
  <r>
    <s v="Matt Joyce"/>
    <x v="30"/>
    <x v="0"/>
    <n v="6"/>
    <n v="12"/>
    <x v="132"/>
  </r>
  <r>
    <s v="Mike Fiers"/>
    <x v="3"/>
    <x v="1"/>
    <n v="4"/>
    <n v="8"/>
    <x v="132"/>
  </r>
  <r>
    <s v="Corey Dickerson"/>
    <x v="29"/>
    <x v="0"/>
    <n v="9"/>
    <n v="18"/>
    <x v="133"/>
  </r>
  <r>
    <s v="Adeiny Hechavarria"/>
    <x v="28"/>
    <x v="6"/>
    <n v="6"/>
    <n v="12"/>
    <x v="134"/>
  </r>
  <r>
    <s v="Pedro Strop"/>
    <x v="8"/>
    <x v="1"/>
    <n v="8"/>
    <n v="16"/>
    <x v="135"/>
  </r>
  <r>
    <s v="Sean Rodriguez"/>
    <x v="29"/>
    <x v="2"/>
    <n v="5"/>
    <n v="10"/>
    <x v="136"/>
  </r>
  <r>
    <s v="Scooter Gennett"/>
    <x v="12"/>
    <x v="3"/>
    <n v="4"/>
    <n v="8"/>
    <x v="137"/>
  </r>
  <r>
    <s v="Matt Harvey"/>
    <x v="6"/>
    <x v="1"/>
    <n v="5"/>
    <n v="10"/>
    <x v="138"/>
  </r>
  <r>
    <s v="Kevin Gausman"/>
    <x v="23"/>
    <x v="1"/>
    <n v="5"/>
    <n v="10"/>
    <x v="139"/>
  </r>
  <r>
    <s v="Lonnie Chisenhall"/>
    <x v="26"/>
    <x v="0"/>
    <n v="6"/>
    <n v="12"/>
    <x v="140"/>
  </r>
  <r>
    <s v="David Phelps"/>
    <x v="10"/>
    <x v="1"/>
    <n v="2"/>
    <n v="4"/>
    <x v="141"/>
  </r>
  <r>
    <s v="Shawn Kelley"/>
    <x v="17"/>
    <x v="1"/>
    <n v="2"/>
    <n v="4"/>
    <x v="142"/>
  </r>
  <r>
    <s v="Anthony Swarzak"/>
    <x v="6"/>
    <x v="1"/>
    <n v="2"/>
    <n v="4"/>
    <x v="142"/>
  </r>
  <r>
    <s v="Luke Gregerson"/>
    <x v="19"/>
    <x v="1"/>
    <n v="1"/>
    <n v="2"/>
    <x v="142"/>
  </r>
  <r>
    <s v="Marc Rzepczynski"/>
    <x v="10"/>
    <x v="1"/>
    <n v="2"/>
    <n v="4"/>
    <x v="142"/>
  </r>
  <r>
    <s v="Eric Thames"/>
    <x v="25"/>
    <x v="2"/>
    <n v="2"/>
    <n v="4"/>
    <x v="143"/>
  </r>
  <r>
    <s v="Alex Colome"/>
    <x v="28"/>
    <x v="1"/>
    <n v="2"/>
    <n v="4"/>
    <x v="144"/>
  </r>
  <r>
    <s v="Michael Wacha"/>
    <x v="19"/>
    <x v="1"/>
    <n v="2"/>
    <n v="4"/>
    <x v="144"/>
  </r>
  <r>
    <s v="Roberto Osuna"/>
    <x v="14"/>
    <x v="1"/>
    <n v="2"/>
    <n v="4"/>
    <x v="144"/>
  </r>
  <r>
    <s v="Raisel Iglesias"/>
    <x v="12"/>
    <x v="1"/>
    <n v="2"/>
    <n v="4"/>
    <x v="145"/>
  </r>
  <r>
    <s v="Brad Brach"/>
    <x v="23"/>
    <x v="1"/>
    <n v="3"/>
    <n v="6"/>
    <x v="146"/>
  </r>
  <r>
    <s v="Marwin Gonzalez"/>
    <x v="7"/>
    <x v="2"/>
    <n v="1"/>
    <n v="2"/>
    <x v="147"/>
  </r>
  <r>
    <s v="Cesar Hernandez"/>
    <x v="5"/>
    <x v="3"/>
    <n v="2"/>
    <n v="4"/>
    <x v="148"/>
  </r>
  <r>
    <s v="Dellin Betances"/>
    <x v="11"/>
    <x v="1"/>
    <n v="5"/>
    <n v="10"/>
    <x v="148"/>
  </r>
  <r>
    <s v="Chase Anderson"/>
    <x v="25"/>
    <x v="1"/>
    <n v="4"/>
    <n v="8"/>
    <x v="149"/>
  </r>
  <r>
    <s v="Jim Johnson"/>
    <x v="9"/>
    <x v="1"/>
    <n v="6"/>
    <n v="12"/>
    <x v="149"/>
  </r>
  <r>
    <s v="Brandon Kintzler"/>
    <x v="17"/>
    <x v="1"/>
    <n v="4"/>
    <n v="8"/>
    <x v="149"/>
  </r>
  <r>
    <s v="Carlos Gonzalez"/>
    <x v="18"/>
    <x v="0"/>
    <n v="5"/>
    <n v="10"/>
    <x v="149"/>
  </r>
  <r>
    <s v="Collin McHugh"/>
    <x v="7"/>
    <x v="1"/>
    <n v="6"/>
    <n v="12"/>
    <x v="149"/>
  </r>
  <r>
    <s v="Curtis Granderson"/>
    <x v="14"/>
    <x v="0"/>
    <n v="4"/>
    <n v="8"/>
    <x v="149"/>
  </r>
  <r>
    <s v="Danny Salazar"/>
    <x v="26"/>
    <x v="1"/>
    <n v="5"/>
    <n v="10"/>
    <x v="149"/>
  </r>
  <r>
    <s v="James Paxton"/>
    <x v="10"/>
    <x v="1"/>
    <n v="8"/>
    <n v="16"/>
    <x v="150"/>
  </r>
  <r>
    <s v="Shelby Miller"/>
    <x v="2"/>
    <x v="1"/>
    <n v="4"/>
    <n v="8"/>
    <x v="150"/>
  </r>
  <r>
    <s v="Eduardo Escobar"/>
    <x v="13"/>
    <x v="6"/>
    <n v="6"/>
    <n v="12"/>
    <x v="151"/>
  </r>
  <r>
    <s v="Taijuan Walker"/>
    <x v="2"/>
    <x v="1"/>
    <n v="1"/>
    <n v="2"/>
    <x v="152"/>
  </r>
  <r>
    <s v="Miguel Gonzalez"/>
    <x v="22"/>
    <x v="1"/>
    <n v="7"/>
    <n v="14"/>
    <x v="153"/>
  </r>
  <r>
    <s v="Gregory Polanco"/>
    <x v="29"/>
    <x v="0"/>
    <n v="8"/>
    <n v="16"/>
    <x v="154"/>
  </r>
  <r>
    <s v="Ender Inciarte"/>
    <x v="21"/>
    <x v="0"/>
    <n v="8"/>
    <n v="16"/>
    <x v="154"/>
  </r>
  <r>
    <s v="Wil Myers"/>
    <x v="20"/>
    <x v="0"/>
    <n v="6"/>
    <n v="12"/>
    <x v="155"/>
  </r>
  <r>
    <s v="Jorge Soler"/>
    <x v="24"/>
    <x v="0"/>
    <n v="8"/>
    <n v="16"/>
    <x v="155"/>
  </r>
  <r>
    <s v="Billy Hamilton"/>
    <x v="12"/>
    <x v="0"/>
    <n v="3"/>
    <n v="6"/>
    <x v="156"/>
  </r>
  <r>
    <s v="Ken Giles"/>
    <x v="7"/>
    <x v="1"/>
    <n v="4"/>
    <n v="8"/>
    <x v="156"/>
  </r>
  <r>
    <s v="David Freese"/>
    <x v="29"/>
    <x v="4"/>
    <n v="8"/>
    <n v="16"/>
    <x v="157"/>
  </r>
  <r>
    <s v="Brad Miller"/>
    <x v="28"/>
    <x v="3"/>
    <n v="7"/>
    <n v="14"/>
    <x v="157"/>
  </r>
  <r>
    <s v="Fernando Rodney"/>
    <x v="13"/>
    <x v="1"/>
    <n v="5"/>
    <n v="10"/>
    <x v="157"/>
  </r>
  <r>
    <s v="Sean Doolittle"/>
    <x v="17"/>
    <x v="1"/>
    <n v="4"/>
    <n v="8"/>
    <x v="158"/>
  </r>
  <r>
    <s v="Tucker Barnhart"/>
    <x v="12"/>
    <x v="5"/>
    <n v="3"/>
    <n v="6"/>
    <x v="159"/>
  </r>
  <r>
    <s v="Sam Dyson"/>
    <x v="15"/>
    <x v="1"/>
    <n v="3"/>
    <n v="6"/>
    <x v="160"/>
  </r>
  <r>
    <s v="Brad Hand"/>
    <x v="20"/>
    <x v="1"/>
    <n v="2"/>
    <n v="4"/>
    <x v="161"/>
  </r>
  <r>
    <s v="Jake Lamb"/>
    <x v="2"/>
    <x v="4"/>
    <n v="5"/>
    <n v="10"/>
    <x v="162"/>
  </r>
  <r>
    <s v="Justin Smoak"/>
    <x v="14"/>
    <x v="2"/>
    <n v="7"/>
    <n v="14"/>
    <x v="163"/>
  </r>
  <r>
    <s v="Justin Wilson"/>
    <x v="8"/>
    <x v="1"/>
    <n v="3"/>
    <n v="6"/>
    <x v="163"/>
  </r>
  <r>
    <s v="Kolten Wong"/>
    <x v="19"/>
    <x v="3"/>
    <n v="7"/>
    <n v="14"/>
    <x v="164"/>
  </r>
  <r>
    <s v="Erasmo Ramirez"/>
    <x v="10"/>
    <x v="1"/>
    <n v="7"/>
    <n v="14"/>
    <x v="164"/>
  </r>
  <r>
    <s v="Kyle Gibson"/>
    <x v="13"/>
    <x v="1"/>
    <n v="8"/>
    <n v="16"/>
    <x v="164"/>
  </r>
  <r>
    <s v="Kyle Hendricks"/>
    <x v="8"/>
    <x v="1"/>
    <n v="4"/>
    <n v="8"/>
    <x v="165"/>
  </r>
  <r>
    <s v="Yangervis Solarte"/>
    <x v="14"/>
    <x v="4"/>
    <n v="5"/>
    <n v="10"/>
    <x v="166"/>
  </r>
  <r>
    <s v="Matt Shoemaker"/>
    <x v="9"/>
    <x v="1"/>
    <n v="6"/>
    <n v="12"/>
    <x v="166"/>
  </r>
  <r>
    <s v="Yusmeiro Petit"/>
    <x v="30"/>
    <x v="1"/>
    <n v="2"/>
    <n v="4"/>
    <x v="167"/>
  </r>
  <r>
    <s v="Hector Rondon"/>
    <x v="7"/>
    <x v="1"/>
    <n v="4"/>
    <n v="8"/>
    <x v="167"/>
  </r>
  <r>
    <s v="Alex Avila"/>
    <x v="2"/>
    <x v="5"/>
    <n v="5"/>
    <n v="10"/>
    <x v="167"/>
  </r>
  <r>
    <s v="Carlos Gomez"/>
    <x v="28"/>
    <x v="0"/>
    <n v="6"/>
    <n v="12"/>
    <x v="167"/>
  </r>
  <r>
    <s v="Doug Fister"/>
    <x v="16"/>
    <x v="1"/>
    <n v="2"/>
    <n v="4"/>
    <x v="167"/>
  </r>
  <r>
    <s v="Francisco Liriano"/>
    <x v="3"/>
    <x v="1"/>
    <n v="1"/>
    <n v="2"/>
    <x v="167"/>
  </r>
  <r>
    <s v="Matt Adams"/>
    <x v="17"/>
    <x v="2"/>
    <n v="8"/>
    <n v="16"/>
    <x v="167"/>
  </r>
  <r>
    <s v="Neil Walker"/>
    <x v="11"/>
    <x v="3"/>
    <n v="2"/>
    <n v="4"/>
    <x v="167"/>
  </r>
  <r>
    <s v="Tyler Flowers"/>
    <x v="21"/>
    <x v="5"/>
    <n v="5"/>
    <n v="10"/>
    <x v="167"/>
  </r>
  <r>
    <s v="Chris Iannetta"/>
    <x v="18"/>
    <x v="5"/>
    <n v="2"/>
    <n v="4"/>
    <x v="168"/>
  </r>
  <r>
    <s v="Nate Jones"/>
    <x v="22"/>
    <x v="1"/>
    <n v="8"/>
    <n v="16"/>
    <x v="169"/>
  </r>
  <r>
    <s v="Robbie Ray"/>
    <x v="2"/>
    <x v="1"/>
    <n v="5"/>
    <n v="10"/>
    <x v="169"/>
  </r>
  <r>
    <s v="Martin Maldonado"/>
    <x v="9"/>
    <x v="5"/>
    <n v="2"/>
    <n v="4"/>
    <x v="170"/>
  </r>
  <r>
    <s v="Joe Kelly"/>
    <x v="4"/>
    <x v="1"/>
    <n v="2"/>
    <n v="4"/>
    <x v="171"/>
  </r>
  <r>
    <s v="Jarrod Dyson"/>
    <x v="2"/>
    <x v="0"/>
    <n v="2"/>
    <n v="4"/>
    <x v="172"/>
  </r>
  <r>
    <s v="Jimmy Nelson"/>
    <x v="25"/>
    <x v="1"/>
    <n v="5"/>
    <n v="10"/>
    <x v="173"/>
  </r>
  <r>
    <s v="Corey Knebel"/>
    <x v="25"/>
    <x v="1"/>
    <n v="6"/>
    <n v="12"/>
    <x v="174"/>
  </r>
  <r>
    <s v="Odubel Herrera"/>
    <x v="5"/>
    <x v="0"/>
    <n v="8"/>
    <n v="16"/>
    <x v="175"/>
  </r>
  <r>
    <s v="Steven Souza Jr."/>
    <x v="2"/>
    <x v="0"/>
    <n v="4"/>
    <n v="8"/>
    <x v="175"/>
  </r>
  <r>
    <s v="Brian Duensing"/>
    <x v="8"/>
    <x v="1"/>
    <n v="5"/>
    <n v="10"/>
    <x v="176"/>
  </r>
  <r>
    <s v="Kurt Suzuki"/>
    <x v="21"/>
    <x v="5"/>
    <n v="4"/>
    <n v="8"/>
    <x v="176"/>
  </r>
  <r>
    <s v="Lucas Duda"/>
    <x v="24"/>
    <x v="2"/>
    <n v="3"/>
    <n v="6"/>
    <x v="176"/>
  </r>
  <r>
    <s v="Travis d'Arnaud"/>
    <x v="6"/>
    <x v="5"/>
    <n v="3"/>
    <n v="6"/>
    <x v="177"/>
  </r>
  <r>
    <s v="Joe Panik"/>
    <x v="15"/>
    <x v="3"/>
    <n v="1"/>
    <n v="2"/>
    <x v="178"/>
  </r>
  <r>
    <s v="Arodys Vizcaino"/>
    <x v="21"/>
    <x v="1"/>
    <n v="2"/>
    <n v="4"/>
    <x v="179"/>
  </r>
  <r>
    <s v="Chris Owings"/>
    <x v="2"/>
    <x v="6"/>
    <n v="1"/>
    <n v="2"/>
    <x v="179"/>
  </r>
  <r>
    <s v="Justin Bour"/>
    <x v="27"/>
    <x v="2"/>
    <n v="3"/>
    <n v="6"/>
    <x v="179"/>
  </r>
  <r>
    <s v="Wilmer Flores"/>
    <x v="6"/>
    <x v="2"/>
    <n v="4"/>
    <n v="8"/>
    <x v="179"/>
  </r>
  <r>
    <s v="Dan Straily"/>
    <x v="27"/>
    <x v="1"/>
    <n v="2"/>
    <n v="4"/>
    <x v="180"/>
  </r>
  <r>
    <s v="Tim Beckham"/>
    <x v="23"/>
    <x v="4"/>
    <n v="2"/>
    <n v="4"/>
    <x v="181"/>
  </r>
  <r>
    <s v="Rougned Odor"/>
    <x v="16"/>
    <x v="3"/>
    <n v="4"/>
    <n v="8"/>
    <x v="182"/>
  </r>
  <r>
    <s v="Adam Warren"/>
    <x v="11"/>
    <x v="1"/>
    <n v="2"/>
    <n v="4"/>
    <x v="183"/>
  </r>
  <r>
    <s v="David Peralta"/>
    <x v="2"/>
    <x v="0"/>
    <n v="3"/>
    <n v="6"/>
    <x v="184"/>
  </r>
  <r>
    <s v="Felipe Rivero"/>
    <x v="29"/>
    <x v="1"/>
    <n v="3"/>
    <n v="6"/>
    <x v="185"/>
  </r>
  <r>
    <s v="Tony Watson"/>
    <x v="15"/>
    <x v="1"/>
    <n v="4"/>
    <n v="8"/>
    <x v="185"/>
  </r>
  <r>
    <s v="Cameron Maybin"/>
    <x v="27"/>
    <x v="0"/>
    <n v="6"/>
    <n v="12"/>
    <x v="185"/>
  </r>
  <r>
    <s v="Kevin Pillar"/>
    <x v="14"/>
    <x v="0"/>
    <n v="2"/>
    <n v="4"/>
    <x v="185"/>
  </r>
  <r>
    <s v="Addison Russell"/>
    <x v="8"/>
    <x v="6"/>
    <n v="4"/>
    <n v="8"/>
    <x v="186"/>
  </r>
  <r>
    <s v="Kenta Maeda"/>
    <x v="1"/>
    <x v="1"/>
    <n v="6"/>
    <n v="12"/>
    <x v="187"/>
  </r>
  <r>
    <s v="Marcus Semien"/>
    <x v="30"/>
    <x v="6"/>
    <n v="1"/>
    <n v="2"/>
    <x v="187"/>
  </r>
  <r>
    <s v="Stephen Vogt"/>
    <x v="25"/>
    <x v="5"/>
    <n v="2"/>
    <n v="4"/>
    <x v="188"/>
  </r>
  <r>
    <s v="Jung-ho Kang"/>
    <x v="29"/>
    <x v="4"/>
    <n v="3"/>
    <n v="6"/>
    <x v="189"/>
  </r>
  <r>
    <s v="Drew Smyly"/>
    <x v="8"/>
    <x v="1"/>
    <n v="1"/>
    <n v="2"/>
    <x v="190"/>
  </r>
  <r>
    <s v="Howie Kendrick"/>
    <x v="17"/>
    <x v="0"/>
    <n v="1"/>
    <n v="2"/>
    <x v="190"/>
  </r>
  <r>
    <s v="Austin Jackson"/>
    <x v="15"/>
    <x v="0"/>
    <n v="3"/>
    <n v="6"/>
    <x v="190"/>
  </r>
  <r>
    <s v="Clayton Richard"/>
    <x v="20"/>
    <x v="1"/>
    <n v="4"/>
    <n v="8"/>
    <x v="190"/>
  </r>
  <r>
    <s v="Bud Norris"/>
    <x v="19"/>
    <x v="1"/>
    <n v="6"/>
    <n v="12"/>
    <x v="190"/>
  </r>
  <r>
    <s v="Chris Tillman"/>
    <x v="23"/>
    <x v="1"/>
    <n v="3"/>
    <n v="6"/>
    <x v="190"/>
  </r>
  <r>
    <s v="Colby Rasmus"/>
    <x v="23"/>
    <x v="0"/>
    <n v="1"/>
    <n v="2"/>
    <x v="190"/>
  </r>
  <r>
    <s v="Drew Hutchison"/>
    <x v="5"/>
    <x v="1"/>
    <n v="3"/>
    <n v="6"/>
    <x v="190"/>
  </r>
  <r>
    <s v="Jon Jay"/>
    <x v="24"/>
    <x v="0"/>
    <n v="3"/>
    <n v="6"/>
    <x v="190"/>
  </r>
  <r>
    <s v="Josh Tomlin"/>
    <x v="26"/>
    <x v="1"/>
    <n v="4"/>
    <n v="8"/>
    <x v="190"/>
  </r>
  <r>
    <s v="Mike Zunino"/>
    <x v="10"/>
    <x v="5"/>
    <n v="8"/>
    <n v="16"/>
    <x v="191"/>
  </r>
  <r>
    <s v="Noah Syndergaard"/>
    <x v="6"/>
    <x v="1"/>
    <n v="9"/>
    <n v="18"/>
    <x v="191"/>
  </r>
  <r>
    <s v="Brandon Maurer"/>
    <x v="24"/>
    <x v="1"/>
    <n v="6"/>
    <n v="12"/>
    <x v="192"/>
  </r>
  <r>
    <s v="Maikel Franco"/>
    <x v="5"/>
    <x v="4"/>
    <n v="4"/>
    <n v="8"/>
    <x v="192"/>
  </r>
  <r>
    <s v="Eugenio Suarez"/>
    <x v="12"/>
    <x v="4"/>
    <n v="9"/>
    <n v="18"/>
    <x v="193"/>
  </r>
  <r>
    <s v="Derek Dietrich"/>
    <x v="27"/>
    <x v="0"/>
    <n v="6"/>
    <n v="12"/>
    <x v="194"/>
  </r>
  <r>
    <s v="J.T. Realmuto"/>
    <x v="27"/>
    <x v="5"/>
    <n v="8"/>
    <n v="16"/>
    <x v="194"/>
  </r>
  <r>
    <s v="Shohei Ohtani"/>
    <x v="9"/>
    <x v="1"/>
    <n v="5"/>
    <n v="10"/>
    <x v="195"/>
  </r>
  <r>
    <s v="Jose Ramirez"/>
    <x v="26"/>
    <x v="4"/>
    <n v="4"/>
    <n v="8"/>
    <x v="196"/>
  </r>
  <r>
    <s v="Aaron Hicks"/>
    <x v="11"/>
    <x v="0"/>
    <n v="5"/>
    <n v="10"/>
    <x v="197"/>
  </r>
  <r>
    <s v="Will Harris"/>
    <x v="7"/>
    <x v="1"/>
    <n v="5"/>
    <n v="10"/>
    <x v="198"/>
  </r>
  <r>
    <s v="Rene Rivera"/>
    <x v="9"/>
    <x v="5"/>
    <n v="6"/>
    <n v="12"/>
    <x v="198"/>
  </r>
  <r>
    <s v="Yoshihisa Hirano"/>
    <x v="2"/>
    <x v="1"/>
    <n v="2"/>
    <n v="4"/>
    <x v="199"/>
  </r>
  <r>
    <s v="Brandon Guyer"/>
    <x v="26"/>
    <x v="0"/>
    <n v="2"/>
    <n v="4"/>
    <x v="199"/>
  </r>
  <r>
    <s v="Nick Vincent"/>
    <x v="10"/>
    <x v="1"/>
    <n v="2"/>
    <n v="4"/>
    <x v="199"/>
  </r>
  <r>
    <s v="George Kontos"/>
    <x v="29"/>
    <x v="1"/>
    <n v="1"/>
    <n v="2"/>
    <x v="200"/>
  </r>
  <r>
    <s v="Jake Diekman"/>
    <x v="16"/>
    <x v="1"/>
    <n v="2"/>
    <n v="4"/>
    <x v="201"/>
  </r>
  <r>
    <s v="Aaron Sanchez"/>
    <x v="14"/>
    <x v="1"/>
    <n v="2"/>
    <n v="4"/>
    <x v="202"/>
  </r>
  <r>
    <s v="Joc Pederson"/>
    <x v="1"/>
    <x v="0"/>
    <n v="2"/>
    <n v="4"/>
    <x v="203"/>
  </r>
  <r>
    <s v="Randal Grichuk"/>
    <x v="14"/>
    <x v="0"/>
    <n v="2"/>
    <n v="4"/>
    <x v="203"/>
  </r>
  <r>
    <s v="Jonathan Villar"/>
    <x v="25"/>
    <x v="3"/>
    <n v="2"/>
    <n v="4"/>
    <x v="204"/>
  </r>
  <r>
    <s v="Michael A. Taylor"/>
    <x v="17"/>
    <x v="0"/>
    <n v="2"/>
    <n v="4"/>
    <x v="205"/>
  </r>
  <r>
    <s v="David Hernandez"/>
    <x v="12"/>
    <x v="1"/>
    <n v="3"/>
    <n v="6"/>
    <x v="206"/>
  </r>
  <r>
    <s v="Matt Albers"/>
    <x v="25"/>
    <x v="1"/>
    <n v="1"/>
    <n v="2"/>
    <x v="206"/>
  </r>
  <r>
    <s v="Alcides Escobar"/>
    <x v="24"/>
    <x v="6"/>
    <n v="2"/>
    <n v="4"/>
    <x v="206"/>
  </r>
  <r>
    <s v="Boone Logan"/>
    <x v="25"/>
    <x v="1"/>
    <n v="5"/>
    <n v="10"/>
    <x v="206"/>
  </r>
  <r>
    <s v="Nick Hundley"/>
    <x v="15"/>
    <x v="5"/>
    <n v="4"/>
    <n v="8"/>
    <x v="206"/>
  </r>
  <r>
    <s v="Sergio Romo"/>
    <x v="28"/>
    <x v="1"/>
    <n v="6"/>
    <n v="12"/>
    <x v="206"/>
  </r>
  <r>
    <s v="Will Smith"/>
    <x v="15"/>
    <x v="1"/>
    <n v="4"/>
    <n v="8"/>
    <x v="206"/>
  </r>
  <r>
    <s v="Lance McCullers Jr."/>
    <x v="7"/>
    <x v="1"/>
    <n v="5"/>
    <n v="10"/>
    <x v="207"/>
  </r>
  <r>
    <s v="Luis Avilan"/>
    <x v="22"/>
    <x v="1"/>
    <n v="6"/>
    <n v="12"/>
    <x v="207"/>
  </r>
  <r>
    <s v="Zach McAllister"/>
    <x v="26"/>
    <x v="1"/>
    <n v="4"/>
    <n v="8"/>
    <x v="207"/>
  </r>
  <r>
    <s v="Brad Peacock"/>
    <x v="7"/>
    <x v="1"/>
    <n v="5"/>
    <n v="10"/>
    <x v="208"/>
  </r>
  <r>
    <s v="Eric Sogard"/>
    <x v="25"/>
    <x v="3"/>
    <n v="8"/>
    <n v="16"/>
    <x v="209"/>
  </r>
  <r>
    <s v="Eduardo Rodriguez"/>
    <x v="4"/>
    <x v="1"/>
    <n v="4"/>
    <n v="8"/>
    <x v="210"/>
  </r>
  <r>
    <s v="James McCann"/>
    <x v="3"/>
    <x v="5"/>
    <n v="6"/>
    <n v="12"/>
    <x v="210"/>
  </r>
  <r>
    <s v="Kendall Graveman"/>
    <x v="30"/>
    <x v="1"/>
    <n v="1"/>
    <n v="2"/>
    <x v="211"/>
  </r>
  <r>
    <s v="Yolmer Sanchez"/>
    <x v="22"/>
    <x v="4"/>
    <n v="7"/>
    <n v="14"/>
    <x v="212"/>
  </r>
  <r>
    <s v="Drew Butera"/>
    <x v="24"/>
    <x v="5"/>
    <n v="8"/>
    <n v="16"/>
    <x v="213"/>
  </r>
  <r>
    <s v="C.J. Cron"/>
    <x v="28"/>
    <x v="2"/>
    <n v="8"/>
    <n v="16"/>
    <x v="213"/>
  </r>
  <r>
    <s v="Carlos Rodon"/>
    <x v="22"/>
    <x v="1"/>
    <n v="4"/>
    <n v="8"/>
    <x v="213"/>
  </r>
  <r>
    <s v="Tony Cingrani"/>
    <x v="1"/>
    <x v="1"/>
    <n v="5"/>
    <n v="10"/>
    <x v="213"/>
  </r>
  <r>
    <s v="Craig Stammen"/>
    <x v="20"/>
    <x v="1"/>
    <n v="5"/>
    <n v="10"/>
    <x v="214"/>
  </r>
  <r>
    <s v="Robinson Chirinos"/>
    <x v="16"/>
    <x v="5"/>
    <n v="6"/>
    <n v="12"/>
    <x v="214"/>
  </r>
  <r>
    <s v="Jorge De La Rosa"/>
    <x v="2"/>
    <x v="1"/>
    <n v="2"/>
    <n v="4"/>
    <x v="214"/>
  </r>
  <r>
    <s v="Randall Delgado"/>
    <x v="2"/>
    <x v="1"/>
    <n v="2"/>
    <n v="4"/>
    <x v="214"/>
  </r>
  <r>
    <s v="Brock Holt"/>
    <x v="4"/>
    <x v="3"/>
    <n v="2"/>
    <n v="4"/>
    <x v="215"/>
  </r>
  <r>
    <s v="Josh Fields"/>
    <x v="1"/>
    <x v="1"/>
    <n v="1"/>
    <n v="2"/>
    <x v="216"/>
  </r>
  <r>
    <s v="Mike Foltynewicz"/>
    <x v="21"/>
    <x v="1"/>
    <n v="2"/>
    <n v="4"/>
    <x v="216"/>
  </r>
  <r>
    <s v="Dominic Leone"/>
    <x v="19"/>
    <x v="1"/>
    <n v="2"/>
    <n v="4"/>
    <x v="217"/>
  </r>
  <r>
    <s v="Blake Treinen"/>
    <x v="30"/>
    <x v="1"/>
    <n v="2"/>
    <n v="4"/>
    <x v="218"/>
  </r>
  <r>
    <s v="Chris Hatcher"/>
    <x v="30"/>
    <x v="1"/>
    <n v="2"/>
    <n v="4"/>
    <x v="218"/>
  </r>
  <r>
    <s v="Zach Duke"/>
    <x v="13"/>
    <x v="1"/>
    <n v="2"/>
    <n v="4"/>
    <x v="218"/>
  </r>
  <r>
    <s v="Jared Hughes"/>
    <x v="12"/>
    <x v="1"/>
    <n v="2"/>
    <n v="4"/>
    <x v="219"/>
  </r>
  <r>
    <s v="Tyler Thornburg"/>
    <x v="4"/>
    <x v="1"/>
    <n v="3"/>
    <n v="6"/>
    <x v="220"/>
  </r>
  <r>
    <s v="Michael Pineda"/>
    <x v="13"/>
    <x v="1"/>
    <n v="1"/>
    <n v="2"/>
    <x v="221"/>
  </r>
  <r>
    <s v="Jeff Mathis"/>
    <x v="2"/>
    <x v="5"/>
    <n v="2"/>
    <n v="4"/>
    <x v="221"/>
  </r>
  <r>
    <s v="Aledmys Diaz"/>
    <x v="14"/>
    <x v="6"/>
    <n v="5"/>
    <n v="10"/>
    <x v="221"/>
  </r>
  <r>
    <s v="Chad Bettis"/>
    <x v="18"/>
    <x v="1"/>
    <n v="4"/>
    <n v="8"/>
    <x v="221"/>
  </r>
  <r>
    <s v="Chris Young"/>
    <x v="9"/>
    <x v="0"/>
    <n v="6"/>
    <n v="12"/>
    <x v="221"/>
  </r>
  <r>
    <s v="Daniel Descalso"/>
    <x v="2"/>
    <x v="2"/>
    <n v="4"/>
    <n v="8"/>
    <x v="221"/>
  </r>
  <r>
    <s v="Hector Santiago"/>
    <x v="22"/>
    <x v="1"/>
    <n v="5"/>
    <n v="10"/>
    <x v="221"/>
  </r>
  <r>
    <s v="Jacob Turner"/>
    <x v="27"/>
    <x v="1"/>
    <n v="6"/>
    <n v="12"/>
    <x v="221"/>
  </r>
  <r>
    <s v="Jose Reyes"/>
    <x v="6"/>
    <x v="6"/>
    <n v="4"/>
    <n v="8"/>
    <x v="221"/>
  </r>
  <r>
    <s v="Nathan Eovaldi"/>
    <x v="28"/>
    <x v="1"/>
    <n v="5"/>
    <n v="10"/>
    <x v="221"/>
  </r>
  <r>
    <s v="Robbie Grossman"/>
    <x v="13"/>
    <x v="0"/>
    <n v="8"/>
    <n v="16"/>
    <x v="221"/>
  </r>
  <r>
    <s v="Seung Hwan Oh"/>
    <x v="14"/>
    <x v="1"/>
    <n v="4"/>
    <n v="8"/>
    <x v="221"/>
  </r>
  <r>
    <s v="Tom Koehler"/>
    <x v="1"/>
    <x v="1"/>
    <n v="6"/>
    <n v="12"/>
    <x v="221"/>
  </r>
  <r>
    <s v="Hernan Perez"/>
    <x v="25"/>
    <x v="3"/>
    <n v="1"/>
    <n v="2"/>
    <x v="222"/>
  </r>
  <r>
    <s v="Sandy Leon"/>
    <x v="4"/>
    <x v="5"/>
    <n v="7"/>
    <n v="14"/>
    <x v="223"/>
  </r>
  <r>
    <s v="Shane Greene"/>
    <x v="3"/>
    <x v="1"/>
    <n v="8"/>
    <n v="14"/>
    <x v="223"/>
  </r>
  <r>
    <s v="Alex Wilson"/>
    <x v="3"/>
    <x v="1"/>
    <n v="8"/>
    <n v="14"/>
    <x v="224"/>
  </r>
  <r>
    <s v="Kazuhisa Makita"/>
    <x v="20"/>
    <x v="1"/>
    <n v="1"/>
    <n v="2"/>
    <x v="225"/>
  </r>
  <r>
    <s v="Jake Marisnick"/>
    <x v="7"/>
    <x v="0"/>
    <n v="10"/>
    <n v="20"/>
    <x v="225"/>
  </r>
  <r>
    <s v="JC Ramirez"/>
    <x v="9"/>
    <x v="1"/>
    <n v="4"/>
    <n v="8"/>
    <x v="225"/>
  </r>
  <r>
    <s v="Liam Hendriks"/>
    <x v="30"/>
    <x v="1"/>
    <n v="4"/>
    <n v="8"/>
    <x v="225"/>
  </r>
  <r>
    <s v="Tyler Skaggs"/>
    <x v="9"/>
    <x v="1"/>
    <n v="5"/>
    <n v="10"/>
    <x v="226"/>
  </r>
  <r>
    <s v="Brad Boxberger"/>
    <x v="2"/>
    <x v="1"/>
    <n v="6"/>
    <n v="12"/>
    <x v="227"/>
  </r>
  <r>
    <s v="Aaron Loup"/>
    <x v="14"/>
    <x v="1"/>
    <n v="4"/>
    <n v="8"/>
    <x v="228"/>
  </r>
  <r>
    <s v="Blake Parker"/>
    <x v="9"/>
    <x v="1"/>
    <n v="9"/>
    <n v="18"/>
    <x v="229"/>
  </r>
  <r>
    <s v="Chris Martin"/>
    <x v="16"/>
    <x v="1"/>
    <n v="6"/>
    <n v="12"/>
    <x v="230"/>
  </r>
  <r>
    <s v="Jeremy Jeffress"/>
    <x v="25"/>
    <x v="1"/>
    <n v="7"/>
    <n v="14"/>
    <x v="230"/>
  </r>
  <r>
    <s v="Leonys Martin"/>
    <x v="3"/>
    <x v="0"/>
    <n v="9"/>
    <n v="18"/>
    <x v="230"/>
  </r>
  <r>
    <s v="Rajai Davis"/>
    <x v="26"/>
    <x v="0"/>
    <n v="6"/>
    <n v="12"/>
    <x v="230"/>
  </r>
  <r>
    <s v="Tony Barnette"/>
    <x v="16"/>
    <x v="1"/>
    <n v="4"/>
    <n v="8"/>
    <x v="230"/>
  </r>
  <r>
    <s v="Cory Spangenberg"/>
    <x v="20"/>
    <x v="3"/>
    <n v="6"/>
    <n v="12"/>
    <x v="231"/>
  </r>
  <r>
    <s v="Cory Gearrin"/>
    <x v="15"/>
    <x v="1"/>
    <n v="4"/>
    <n v="8"/>
    <x v="232"/>
  </r>
  <r>
    <s v="Dylan Bundy"/>
    <x v="23"/>
    <x v="1"/>
    <n v="6"/>
    <n v="12"/>
    <x v="233"/>
  </r>
  <r>
    <s v="Roberto Perez"/>
    <x v="26"/>
    <x v="5"/>
    <n v="7"/>
    <n v="14"/>
    <x v="234"/>
  </r>
  <r>
    <s v="Ketel Marte"/>
    <x v="2"/>
    <x v="6"/>
    <n v="8"/>
    <n v="16"/>
    <x v="235"/>
  </r>
  <r>
    <s v="Enrique Hernandez"/>
    <x v="1"/>
    <x v="0"/>
    <n v="11"/>
    <n v="14"/>
    <x v="235"/>
  </r>
  <r>
    <s v="Ryan Pressly"/>
    <x v="13"/>
    <x v="1"/>
    <n v="7"/>
    <n v="14"/>
    <x v="235"/>
  </r>
  <r>
    <s v="Hunter Strickland"/>
    <x v="15"/>
    <x v="1"/>
    <n v="6"/>
    <n v="12"/>
    <x v="236"/>
  </r>
  <r>
    <s v="Stephen Piscotty"/>
    <x v="30"/>
    <x v="0"/>
    <n v="5"/>
    <n v="10"/>
    <x v="237"/>
  </r>
  <r>
    <s v="Paul DeJong"/>
    <x v="19"/>
    <x v="6"/>
    <n v="4"/>
    <n v="8"/>
    <x v="237"/>
  </r>
  <r>
    <s v="Cliff Pennington"/>
    <x v="12"/>
    <x v="3"/>
    <n v="2"/>
    <n v="4"/>
    <x v="237"/>
  </r>
  <r>
    <s v="Derek Holland"/>
    <x v="15"/>
    <x v="1"/>
    <n v="3"/>
    <n v="6"/>
    <x v="237"/>
  </r>
  <r>
    <s v="Fernando Salas"/>
    <x v="2"/>
    <x v="1"/>
    <n v="4"/>
    <n v="8"/>
    <x v="237"/>
  </r>
  <r>
    <s v="John Axford"/>
    <x v="14"/>
    <x v="1"/>
    <n v="9"/>
    <n v="18"/>
    <x v="237"/>
  </r>
  <r>
    <s v="Matt Belisle"/>
    <x v="26"/>
    <x v="1"/>
    <n v="6"/>
    <n v="12"/>
    <x v="237"/>
  </r>
  <r>
    <s v="Pedro Baez"/>
    <x v="1"/>
    <x v="1"/>
    <n v="3"/>
    <n v="6"/>
    <x v="237"/>
  </r>
  <r>
    <s v="Tyler Clippard"/>
    <x v="14"/>
    <x v="1"/>
    <n v="4"/>
    <n v="8"/>
    <x v="237"/>
  </r>
  <r>
    <s v="Blake Wood"/>
    <x v="9"/>
    <x v="1"/>
    <n v="8"/>
    <n v="16"/>
    <x v="238"/>
  </r>
  <r>
    <s v="Christian Vazquez"/>
    <x v="4"/>
    <x v="5"/>
    <n v="8"/>
    <n v="16"/>
    <x v="238"/>
  </r>
  <r>
    <s v="Devon Travis"/>
    <x v="14"/>
    <x v="3"/>
    <n v="3"/>
    <n v="6"/>
    <x v="238"/>
  </r>
  <r>
    <s v="Nate Karns"/>
    <x v="24"/>
    <x v="1"/>
    <n v="4"/>
    <n v="8"/>
    <x v="239"/>
  </r>
  <r>
    <s v="Michael Lorenzen"/>
    <x v="12"/>
    <x v="1"/>
    <n v="8"/>
    <n v="16"/>
    <x v="240"/>
  </r>
  <r>
    <s v="Tommy Kahnle"/>
    <x v="11"/>
    <x v="1"/>
    <n v="7"/>
    <n v="14"/>
    <x v="240"/>
  </r>
  <r>
    <s v="Miguel Montero"/>
    <x v="17"/>
    <x v="5"/>
    <n v="5"/>
    <n v="10"/>
    <x v="241"/>
  </r>
  <r>
    <s v="Chris Rusin"/>
    <x v="18"/>
    <x v="1"/>
    <n v="4"/>
    <n v="8"/>
    <x v="242"/>
  </r>
  <r>
    <s v="Nick Ahmed"/>
    <x v="2"/>
    <x v="6"/>
    <n v="3"/>
    <n v="6"/>
    <x v="243"/>
  </r>
  <r>
    <s v="A.J. Ellis"/>
    <x v="20"/>
    <x v="5"/>
    <n v="3"/>
    <n v="6"/>
    <x v="244"/>
  </r>
  <r>
    <s v="Caleb Joseph"/>
    <x v="23"/>
    <x v="5"/>
    <n v="2"/>
    <n v="4"/>
    <x v="244"/>
  </r>
  <r>
    <s v="Justin Grimm"/>
    <x v="24"/>
    <x v="1"/>
    <n v="5"/>
    <n v="10"/>
    <x v="244"/>
  </r>
  <r>
    <s v="Kevin Jepsen"/>
    <x v="16"/>
    <x v="1"/>
    <n v="7"/>
    <n v="14"/>
    <x v="244"/>
  </r>
  <r>
    <s v="Phil Gosselin"/>
    <x v="12"/>
    <x v="3"/>
    <n v="3"/>
    <n v="6"/>
    <x v="244"/>
  </r>
  <r>
    <s v="Danny Valencia"/>
    <x v="23"/>
    <x v="2"/>
    <n v="7"/>
    <n v="14"/>
    <x v="245"/>
  </r>
  <r>
    <s v="Keone Kela"/>
    <x v="16"/>
    <x v="1"/>
    <n v="7"/>
    <n v="14"/>
    <x v="245"/>
  </r>
  <r>
    <s v="Luis Garcia"/>
    <x v="5"/>
    <x v="1"/>
    <n v="8"/>
    <n v="16"/>
    <x v="245"/>
  </r>
  <r>
    <s v="Tyler Lyons"/>
    <x v="19"/>
    <x v="1"/>
    <n v="4"/>
    <n v="8"/>
    <x v="245"/>
  </r>
  <r>
    <s v="Andrew Chafin"/>
    <x v="2"/>
    <x v="1"/>
    <n v="5"/>
    <n v="10"/>
    <x v="246"/>
  </r>
  <r>
    <s v="Miguel Rojas"/>
    <x v="27"/>
    <x v="6"/>
    <n v="6"/>
    <n v="12"/>
    <x v="247"/>
  </r>
  <r>
    <s v="Leury Garcia"/>
    <x v="22"/>
    <x v="0"/>
    <n v="2"/>
    <n v="4"/>
    <x v="248"/>
  </r>
  <r>
    <s v="Scott Kingery"/>
    <x v="5"/>
    <x v="3"/>
    <n v="4"/>
    <n v="8"/>
    <x v="249"/>
  </r>
  <r>
    <s v="Dan Otero"/>
    <x v="26"/>
    <x v="1"/>
    <n v="5"/>
    <n v="10"/>
    <x v="250"/>
  </r>
  <r>
    <s v="Kyle Barraclough"/>
    <x v="27"/>
    <x v="1"/>
    <n v="6"/>
    <n v="12"/>
    <x v="251"/>
  </r>
  <r>
    <s v="Austin Romine"/>
    <x v="11"/>
    <x v="5"/>
    <n v="2"/>
    <n v="4"/>
    <x v="252"/>
  </r>
  <r>
    <s v="Cam Bedrosian"/>
    <x v="9"/>
    <x v="1"/>
    <n v="1"/>
    <n v="2"/>
    <x v="252"/>
  </r>
  <r>
    <s v="Rex Brothers"/>
    <x v="21"/>
    <x v="1"/>
    <n v="8"/>
    <n v="16"/>
    <x v="252"/>
  </r>
  <r>
    <s v="Steven Wright"/>
    <x v="4"/>
    <x v="1"/>
    <n v="2"/>
    <n v="4"/>
    <x v="252"/>
  </r>
  <r>
    <s v="Braxton Lee"/>
    <x v="27"/>
    <x v="0"/>
    <n v="5"/>
    <n v="10"/>
    <x v="253"/>
  </r>
  <r>
    <s v="Brett Graves"/>
    <x v="27"/>
    <x v="1"/>
    <n v="2"/>
    <n v="4"/>
    <x v="253"/>
  </r>
  <r>
    <s v="Caleb Smith"/>
    <x v="27"/>
    <x v="1"/>
    <n v="8"/>
    <n v="16"/>
    <x v="253"/>
  </r>
  <r>
    <s v="Chris O'Grady"/>
    <x v="27"/>
    <x v="1"/>
    <n v="5"/>
    <n v="10"/>
    <x v="253"/>
  </r>
  <r>
    <s v="Dillon Peters"/>
    <x v="27"/>
    <x v="1"/>
    <n v="2"/>
    <n v="4"/>
    <x v="253"/>
  </r>
  <r>
    <s v="Drew Steckenrider"/>
    <x v="27"/>
    <x v="1"/>
    <n v="2"/>
    <n v="4"/>
    <x v="253"/>
  </r>
  <r>
    <s v="Elieser Hernandez"/>
    <x v="27"/>
    <x v="1"/>
    <n v="2"/>
    <n v="4"/>
    <x v="253"/>
  </r>
  <r>
    <s v="Odrisamer Despaigne"/>
    <x v="27"/>
    <x v="1"/>
    <n v="5"/>
    <n v="10"/>
    <x v="253"/>
  </r>
  <r>
    <s v="Sam Freeman"/>
    <x v="21"/>
    <x v="1"/>
    <n v="6"/>
    <n v="12"/>
    <x v="254"/>
  </r>
  <r>
    <s v="Kirby Yates"/>
    <x v="20"/>
    <x v="1"/>
    <n v="8"/>
    <n v="16"/>
    <x v="255"/>
  </r>
  <r>
    <s v="Andrew Romine"/>
    <x v="10"/>
    <x v="6"/>
    <n v="4"/>
    <n v="8"/>
    <x v="256"/>
  </r>
  <r>
    <s v="Danny Farquhar"/>
    <x v="22"/>
    <x v="1"/>
    <n v="5"/>
    <n v="10"/>
    <x v="256"/>
  </r>
  <r>
    <s v="Jose Alvarez"/>
    <x v="9"/>
    <x v="1"/>
    <n v="4"/>
    <n v="8"/>
    <x v="256"/>
  </r>
  <r>
    <s v="Jurickson Profar"/>
    <x v="16"/>
    <x v="3"/>
    <n v="3"/>
    <n v="6"/>
    <x v="256"/>
  </r>
  <r>
    <s v="Tim Anderson"/>
    <x v="22"/>
    <x v="6"/>
    <n v="3"/>
    <n v="6"/>
    <x v="257"/>
  </r>
  <r>
    <s v="Chase Utley"/>
    <x v="1"/>
    <x v="3"/>
    <n v="1"/>
    <n v="2"/>
    <x v="257"/>
  </r>
  <r>
    <s v="Blaine Boyer"/>
    <x v="24"/>
    <x v="1"/>
    <n v="2"/>
    <n v="4"/>
    <x v="257"/>
  </r>
  <r>
    <s v="Bryan Holaday"/>
    <x v="27"/>
    <x v="5"/>
    <n v="1"/>
    <n v="2"/>
    <x v="257"/>
  </r>
  <r>
    <s v="Carlos Correa"/>
    <x v="7"/>
    <x v="6"/>
    <n v="3"/>
    <n v="6"/>
    <x v="257"/>
  </r>
  <r>
    <s v="Ehire Adrianza"/>
    <x v="13"/>
    <x v="6"/>
    <n v="4"/>
    <n v="8"/>
    <x v="257"/>
  </r>
  <r>
    <s v="Gregor Blanco"/>
    <x v="15"/>
    <x v="0"/>
    <n v="2"/>
    <n v="4"/>
    <x v="257"/>
  </r>
  <r>
    <s v="Jesse Chavez"/>
    <x v="16"/>
    <x v="1"/>
    <n v="2"/>
    <n v="4"/>
    <x v="257"/>
  </r>
  <r>
    <s v="Joaquin Benoit"/>
    <x v="17"/>
    <x v="1"/>
    <n v="4"/>
    <n v="8"/>
    <x v="257"/>
  </r>
  <r>
    <s v="Jordan Lyles"/>
    <x v="20"/>
    <x v="1"/>
    <n v="2"/>
    <n v="4"/>
    <x v="257"/>
  </r>
  <r>
    <s v="Pedro Alvarez"/>
    <x v="23"/>
    <x v="2"/>
    <n v="3"/>
    <n v="6"/>
    <x v="257"/>
  </r>
  <r>
    <s v="Peter Bourjos"/>
    <x v="21"/>
    <x v="0"/>
    <n v="3"/>
    <n v="6"/>
    <x v="257"/>
  </r>
  <r>
    <s v="Ryan Goins"/>
    <x v="24"/>
    <x v="6"/>
    <n v="4"/>
    <n v="8"/>
    <x v="257"/>
  </r>
  <r>
    <s v="Tim Lincecum"/>
    <x v="16"/>
    <x v="1"/>
    <n v="6"/>
    <n v="12"/>
    <x v="257"/>
  </r>
  <r>
    <s v="Matt Szczur"/>
    <x v="20"/>
    <x v="0"/>
    <n v="2"/>
    <n v="4"/>
    <x v="258"/>
  </r>
  <r>
    <s v="Tommy La Stella"/>
    <x v="8"/>
    <x v="3"/>
    <n v="4"/>
    <n v="8"/>
    <x v="258"/>
  </r>
  <r>
    <s v="Matt Duffy"/>
    <x v="28"/>
    <x v="4"/>
    <n v="6"/>
    <n v="12"/>
    <x v="259"/>
  </r>
  <r>
    <s v="Jesus Sucre"/>
    <x v="28"/>
    <x v="5"/>
    <n v="1"/>
    <n v="2"/>
    <x v="260"/>
  </r>
  <r>
    <s v="Josh Phegley"/>
    <x v="30"/>
    <x v="5"/>
    <n v="2"/>
    <n v="4"/>
    <x v="261"/>
  </r>
  <r>
    <s v="Craig Gentry"/>
    <x v="23"/>
    <x v="0"/>
    <n v="3"/>
    <n v="6"/>
    <x v="262"/>
  </r>
  <r>
    <s v="Ryan Rua"/>
    <x v="16"/>
    <x v="0"/>
    <n v="1"/>
    <n v="2"/>
    <x v="263"/>
  </r>
  <r>
    <s v="Anthony DeSclafani"/>
    <x v="12"/>
    <x v="1"/>
    <n v="1"/>
    <n v="2"/>
    <x v="264"/>
  </r>
  <r>
    <s v="Carson Smith"/>
    <x v="4"/>
    <x v="1"/>
    <n v="3"/>
    <n v="6"/>
    <x v="265"/>
  </r>
  <r>
    <s v="Ji-Man Choi"/>
    <x v="25"/>
    <x v="2"/>
    <n v="4"/>
    <n v="8"/>
    <x v="265"/>
  </r>
  <r>
    <s v="T.J. McFarland"/>
    <x v="2"/>
    <x v="1"/>
    <n v="6"/>
    <n v="12"/>
    <x v="265"/>
  </r>
  <r>
    <s v="Jacob Lindgren"/>
    <x v="21"/>
    <x v="1"/>
    <n v="3"/>
    <n v="6"/>
    <x v="266"/>
  </r>
  <r>
    <s v="Chasen Shreve"/>
    <x v="11"/>
    <x v="1"/>
    <n v="1"/>
    <n v="2"/>
    <x v="267"/>
  </r>
  <r>
    <s v="Andrew Heaney"/>
    <x v="9"/>
    <x v="1"/>
    <n v="3"/>
    <n v="6"/>
    <x v="268"/>
  </r>
  <r>
    <s v="Chase Whitley"/>
    <x v="21"/>
    <x v="1"/>
    <n v="3"/>
    <n v="6"/>
    <x v="268"/>
  </r>
  <r>
    <s v="Guillermo Heredia"/>
    <x v="10"/>
    <x v="0"/>
    <n v="4"/>
    <n v="8"/>
    <x v="269"/>
  </r>
  <r>
    <s v="Jake Smolinski"/>
    <x v="30"/>
    <x v="0"/>
    <n v="8"/>
    <n v="16"/>
    <x v="270"/>
  </r>
  <r>
    <s v="Ichiro Suzuki"/>
    <x v="10"/>
    <x v="0"/>
    <n v="9"/>
    <n v="13"/>
    <x v="271"/>
  </r>
  <r>
    <s v="Ryan Flaherty"/>
    <x v="21"/>
    <x v="3"/>
    <n v="6"/>
    <n v="12"/>
    <x v="271"/>
  </r>
  <r>
    <s v="Chaz Roe"/>
    <x v="28"/>
    <x v="1"/>
    <n v="4"/>
    <n v="8"/>
    <x v="272"/>
  </r>
  <r>
    <s v="Kevin Quackenbush"/>
    <x v="12"/>
    <x v="1"/>
    <n v="9"/>
    <n v="18"/>
    <x v="273"/>
  </r>
  <r>
    <s v="Javier Baez"/>
    <x v="8"/>
    <x v="3"/>
    <n v="6"/>
    <n v="12"/>
    <x v="274"/>
  </r>
  <r>
    <s v="Francisco Pena"/>
    <x v="19"/>
    <x v="5"/>
    <n v="8"/>
    <n v="16"/>
    <x v="275"/>
  </r>
  <r>
    <s v="Niko Goodrum"/>
    <x v="3"/>
    <x v="4"/>
    <n v="5"/>
    <n v="10"/>
    <x v="275"/>
  </r>
  <r>
    <s v="Robbie Erlin"/>
    <x v="20"/>
    <x v="1"/>
    <n v="4"/>
    <n v="8"/>
    <x v="275"/>
  </r>
  <r>
    <s v="Trevor May"/>
    <x v="13"/>
    <x v="1"/>
    <n v="5"/>
    <n v="10"/>
    <x v="275"/>
  </r>
  <r>
    <s v="Wade LeBlanc"/>
    <x v="10"/>
    <x v="1"/>
    <n v="5"/>
    <n v="10"/>
    <x v="275"/>
  </r>
  <r>
    <s v="Adam Duvall"/>
    <x v="12"/>
    <x v="0"/>
    <n v="6"/>
    <n v="12"/>
    <x v="276"/>
  </r>
  <r>
    <s v="Yimi Garcia"/>
    <x v="1"/>
    <x v="1"/>
    <n v="2"/>
    <n v="4"/>
    <x v="277"/>
  </r>
  <r>
    <s v="Francisco Lindor"/>
    <x v="26"/>
    <x v="6"/>
    <n v="2"/>
    <n v="4"/>
    <x v="278"/>
  </r>
  <r>
    <s v="Aaron Judge"/>
    <x v="11"/>
    <x v="0"/>
    <n v="2"/>
    <n v="4"/>
    <x v="279"/>
  </r>
  <r>
    <s v="Brandon Drury"/>
    <x v="11"/>
    <x v="4"/>
    <n v="1"/>
    <n v="2"/>
    <x v="280"/>
  </r>
  <r>
    <s v="Andrew Benintendi"/>
    <x v="4"/>
    <x v="0"/>
    <n v="2"/>
    <n v="4"/>
    <x v="281"/>
  </r>
  <r>
    <s v="Gary Sanchez"/>
    <x v="11"/>
    <x v="5"/>
    <n v="2"/>
    <n v="4"/>
    <x v="282"/>
  </r>
  <r>
    <s v="Ronald Torreyes"/>
    <x v="11"/>
    <x v="6"/>
    <n v="2"/>
    <n v="4"/>
    <x v="283"/>
  </r>
  <r>
    <s v="Mike Montgomery"/>
    <x v="8"/>
    <x v="1"/>
    <n v="2"/>
    <n v="4"/>
    <x v="284"/>
  </r>
  <r>
    <s v="Dan Winkler"/>
    <x v="21"/>
    <x v="1"/>
    <n v="2"/>
    <n v="4"/>
    <x v="285"/>
  </r>
  <r>
    <s v="Zac Rosscup"/>
    <x v="18"/>
    <x v="1"/>
    <n v="2"/>
    <n v="4"/>
    <x v="285"/>
  </r>
  <r>
    <s v="Michael Conforto"/>
    <x v="6"/>
    <x v="0"/>
    <n v="3"/>
    <n v="6"/>
    <x v="286"/>
  </r>
  <r>
    <s v="Corey Seager"/>
    <x v="1"/>
    <x v="6"/>
    <n v="1"/>
    <n v="2"/>
    <x v="287"/>
  </r>
  <r>
    <s v="Matt Barnes"/>
    <x v="4"/>
    <x v="1"/>
    <n v="2"/>
    <n v="4"/>
    <x v="287"/>
  </r>
  <r>
    <s v="Luis Severino"/>
    <x v="11"/>
    <x v="1"/>
    <n v="5"/>
    <n v="10"/>
    <x v="288"/>
  </r>
  <r>
    <s v="Kyle Schwarber"/>
    <x v="8"/>
    <x v="0"/>
    <n v="4"/>
    <n v="8"/>
    <x v="289"/>
  </r>
  <r>
    <s v="Willson Contreras"/>
    <x v="8"/>
    <x v="5"/>
    <n v="6"/>
    <n v="12"/>
    <x v="289"/>
  </r>
  <r>
    <s v="Eddie Rosario"/>
    <x v="13"/>
    <x v="0"/>
    <n v="4"/>
    <n v="8"/>
    <x v="290"/>
  </r>
  <r>
    <s v="Miguel Sano"/>
    <x v="13"/>
    <x v="4"/>
    <n v="5"/>
    <n v="10"/>
    <x v="290"/>
  </r>
  <r>
    <s v="Juan Centeno"/>
    <x v="16"/>
    <x v="5"/>
    <n v="6"/>
    <n v="12"/>
    <x v="291"/>
  </r>
  <r>
    <s v="Pedro Florimon"/>
    <x v="5"/>
    <x v="0"/>
    <n v="4"/>
    <n v="8"/>
    <x v="291"/>
  </r>
  <r>
    <s v="Chris Devenski"/>
    <x v="7"/>
    <x v="1"/>
    <n v="5"/>
    <n v="10"/>
    <x v="292"/>
  </r>
  <r>
    <s v="Alex Bregman"/>
    <x v="7"/>
    <x v="4"/>
    <n v="8"/>
    <n v="16"/>
    <x v="293"/>
  </r>
  <r>
    <s v="Carl Edwards Jr."/>
    <x v="8"/>
    <x v="1"/>
    <n v="4"/>
    <n v="8"/>
    <x v="294"/>
  </r>
  <r>
    <s v="Max Kepler"/>
    <x v="13"/>
    <x v="0"/>
    <n v="6"/>
    <n v="12"/>
    <x v="295"/>
  </r>
  <r>
    <s v="Cody Bellinger"/>
    <x v="1"/>
    <x v="2"/>
    <n v="1"/>
    <n v="2"/>
    <x v="296"/>
  </r>
  <r>
    <s v="Ryan LaMarre"/>
    <x v="13"/>
    <x v="0"/>
    <n v="7"/>
    <n v="14"/>
    <x v="296"/>
  </r>
  <r>
    <s v="Albert Almora Jr."/>
    <x v="8"/>
    <x v="0"/>
    <n v="8"/>
    <n v="14"/>
    <x v="297"/>
  </r>
  <r>
    <s v="Hector Neris"/>
    <x v="5"/>
    <x v="1"/>
    <n v="8"/>
    <n v="16"/>
    <x v="298"/>
  </r>
  <r>
    <s v="Greg Bird"/>
    <x v="11"/>
    <x v="2"/>
    <n v="1"/>
    <n v="2"/>
    <x v="299"/>
  </r>
  <r>
    <s v="Archie Bradley"/>
    <x v="2"/>
    <x v="1"/>
    <n v="10"/>
    <n v="14"/>
    <x v="300"/>
  </r>
  <r>
    <s v="Heath Hembree"/>
    <x v="4"/>
    <x v="1"/>
    <n v="4"/>
    <n v="8"/>
    <x v="301"/>
  </r>
  <r>
    <s v="Jordan Montgomery"/>
    <x v="11"/>
    <x v="1"/>
    <n v="4"/>
    <n v="8"/>
    <x v="302"/>
  </r>
  <r>
    <s v="Byron Buxton"/>
    <x v="13"/>
    <x v="0"/>
    <n v="5"/>
    <n v="10"/>
    <x v="303"/>
  </r>
  <r>
    <s v="Raffy Lopez"/>
    <x v="20"/>
    <x v="5"/>
    <n v="6"/>
    <n v="12"/>
    <x v="303"/>
  </r>
  <r>
    <s v="Scott Schebler"/>
    <x v="12"/>
    <x v="0"/>
    <n v="4"/>
    <n v="8"/>
    <x v="303"/>
  </r>
  <r>
    <s v="Zack Godley"/>
    <x v="2"/>
    <x v="1"/>
    <n v="9"/>
    <n v="18"/>
    <x v="304"/>
  </r>
  <r>
    <s v="Brandon Finnegan"/>
    <x v="12"/>
    <x v="1"/>
    <n v="6"/>
    <n v="12"/>
    <x v="305"/>
  </r>
  <r>
    <s v="Trea Turner"/>
    <x v="17"/>
    <x v="6"/>
    <n v="7"/>
    <n v="14"/>
    <x v="306"/>
  </r>
  <r>
    <s v="Steven Matz"/>
    <x v="6"/>
    <x v="1"/>
    <n v="9"/>
    <n v="18"/>
    <x v="307"/>
  </r>
  <r>
    <s v="Michael Feliz"/>
    <x v="29"/>
    <x v="1"/>
    <n v="6"/>
    <n v="12"/>
    <x v="308"/>
  </r>
  <r>
    <s v="Michael Fulmer"/>
    <x v="3"/>
    <x v="1"/>
    <n v="4"/>
    <n v="8"/>
    <x v="309"/>
  </r>
  <r>
    <s v="Charlie Culberson"/>
    <x v="21"/>
    <x v="6"/>
    <n v="6"/>
    <n v="12"/>
    <x v="310"/>
  </r>
  <r>
    <s v="Chris Stewart"/>
    <x v="21"/>
    <x v="5"/>
    <n v="4"/>
    <n v="8"/>
    <x v="310"/>
  </r>
  <r>
    <s v="Chris Taylor"/>
    <x v="1"/>
    <x v="0"/>
    <n v="6"/>
    <n v="12"/>
    <x v="310"/>
  </r>
  <r>
    <s v="Jorge Polanco"/>
    <x v="13"/>
    <x v="6"/>
    <n v="7"/>
    <n v="14"/>
    <x v="310"/>
  </r>
  <r>
    <s v="Jose Urena"/>
    <x v="27"/>
    <x v="1"/>
    <n v="8"/>
    <n v="14"/>
    <x v="310"/>
  </r>
  <r>
    <s v="Lane Adams"/>
    <x v="21"/>
    <x v="0"/>
    <n v="11"/>
    <n v="22"/>
    <x v="310"/>
  </r>
  <r>
    <s v="Peter Moylan"/>
    <x v="21"/>
    <x v="1"/>
    <n v="7"/>
    <n v="14"/>
    <x v="310"/>
  </r>
  <r>
    <s v="Ryan Tepera"/>
    <x v="14"/>
    <x v="1"/>
    <n v="6"/>
    <n v="12"/>
    <x v="311"/>
  </r>
  <r>
    <s v="Jesse Hahn"/>
    <x v="24"/>
    <x v="1"/>
    <n v="5"/>
    <n v="10"/>
    <x v="312"/>
  </r>
  <r>
    <s v="Brian Flynn"/>
    <x v="24"/>
    <x v="1"/>
    <n v="4"/>
    <n v="8"/>
    <x v="313"/>
  </r>
  <r>
    <s v="Cheslor Cuthbert"/>
    <x v="24"/>
    <x v="4"/>
    <n v="2"/>
    <n v="4"/>
    <x v="313"/>
  </r>
  <r>
    <s v="Aaron Nola"/>
    <x v="5"/>
    <x v="1"/>
    <n v="3"/>
    <n v="6"/>
    <x v="314"/>
  </r>
  <r>
    <s v="Josh Bell"/>
    <x v="29"/>
    <x v="2"/>
    <n v="4"/>
    <n v="8"/>
    <x v="315"/>
  </r>
  <r>
    <s v="Domingo Santana"/>
    <x v="25"/>
    <x v="0"/>
    <n v="9"/>
    <n v="18"/>
    <x v="316"/>
  </r>
  <r>
    <s v="Zach Davies"/>
    <x v="25"/>
    <x v="1"/>
    <n v="6"/>
    <n v="12"/>
    <x v="317"/>
  </r>
  <r>
    <s v="Adam Frazier"/>
    <x v="29"/>
    <x v="0"/>
    <n v="3"/>
    <n v="6"/>
    <x v="318"/>
  </r>
  <r>
    <s v="Jameson Taillon"/>
    <x v="29"/>
    <x v="1"/>
    <n v="4"/>
    <n v="8"/>
    <x v="318"/>
  </r>
  <r>
    <s v="Joe Musgrove"/>
    <x v="29"/>
    <x v="1"/>
    <n v="8"/>
    <n v="16"/>
    <x v="318"/>
  </r>
  <r>
    <s v="Chad Green"/>
    <x v="11"/>
    <x v="1"/>
    <n v="8"/>
    <n v="16"/>
    <x v="319"/>
  </r>
  <r>
    <s v="Edwin Diaz"/>
    <x v="10"/>
    <x v="1"/>
    <n v="7"/>
    <n v="14"/>
    <x v="319"/>
  </r>
  <r>
    <s v="Eddie Butler"/>
    <x v="8"/>
    <x v="1"/>
    <n v="5"/>
    <n v="10"/>
    <x v="320"/>
  </r>
  <r>
    <s v="Chad Kuhl"/>
    <x v="29"/>
    <x v="1"/>
    <n v="4"/>
    <n v="8"/>
    <x v="321"/>
  </r>
  <r>
    <s v="Josh Smoker"/>
    <x v="29"/>
    <x v="1"/>
    <n v="3"/>
    <n v="6"/>
    <x v="321"/>
  </r>
  <r>
    <s v="Tommy Pham"/>
    <x v="19"/>
    <x v="0"/>
    <n v="3"/>
    <n v="6"/>
    <x v="322"/>
  </r>
  <r>
    <s v="Ian Happ"/>
    <x v="8"/>
    <x v="0"/>
    <n v="2"/>
    <n v="4"/>
    <x v="323"/>
  </r>
  <r>
    <s v="Jose Berrios"/>
    <x v="13"/>
    <x v="1"/>
    <n v="5"/>
    <n v="10"/>
    <x v="323"/>
  </r>
  <r>
    <s v="Jose Peraza"/>
    <x v="12"/>
    <x v="6"/>
    <n v="7"/>
    <n v="14"/>
    <x v="323"/>
  </r>
  <r>
    <s v="Matt Davidson"/>
    <x v="22"/>
    <x v="7"/>
    <n v="3"/>
    <n v="6"/>
    <x v="323"/>
  </r>
  <r>
    <s v="Greg Garcia"/>
    <x v="19"/>
    <x v="4"/>
    <n v="7"/>
    <n v="14"/>
    <x v="324"/>
  </r>
  <r>
    <s v="Trevor Williams"/>
    <x v="29"/>
    <x v="1"/>
    <n v="7"/>
    <n v="14"/>
    <x v="325"/>
  </r>
  <r>
    <s v="Whit Merrifield"/>
    <x v="24"/>
    <x v="3"/>
    <n v="8"/>
    <n v="16"/>
    <x v="325"/>
  </r>
  <r>
    <s v="Paulo Orlando"/>
    <x v="24"/>
    <x v="0"/>
    <n v="4"/>
    <n v="8"/>
    <x v="326"/>
  </r>
  <r>
    <s v="Alex Claudio"/>
    <x v="16"/>
    <x v="1"/>
    <n v="5"/>
    <n v="10"/>
    <x v="327"/>
  </r>
  <r>
    <s v="Jerad Eickhoff"/>
    <x v="5"/>
    <x v="1"/>
    <n v="6"/>
    <n v="12"/>
    <x v="328"/>
  </r>
  <r>
    <s v="Joe Ross"/>
    <x v="17"/>
    <x v="1"/>
    <n v="2"/>
    <n v="4"/>
    <x v="329"/>
  </r>
  <r>
    <s v="James Hoyt"/>
    <x v="7"/>
    <x v="1"/>
    <n v="4"/>
    <n v="8"/>
    <x v="330"/>
  </r>
  <r>
    <s v="Travis Shaw"/>
    <x v="25"/>
    <x v="4"/>
    <n v="5"/>
    <n v="10"/>
    <x v="331"/>
  </r>
  <r>
    <s v="A.J. Schugel"/>
    <x v="29"/>
    <x v="1"/>
    <n v="6"/>
    <n v="12"/>
    <x v="332"/>
  </r>
  <r>
    <s v="Luis Perdomo"/>
    <x v="20"/>
    <x v="1"/>
    <n v="2"/>
    <n v="4"/>
    <x v="333"/>
  </r>
  <r>
    <s v="Mychal Givens"/>
    <x v="23"/>
    <x v="1"/>
    <n v="1"/>
    <n v="2"/>
    <x v="334"/>
  </r>
  <r>
    <s v="Matt Bowman"/>
    <x v="19"/>
    <x v="1"/>
    <n v="8"/>
    <n v="16"/>
    <x v="335"/>
  </r>
  <r>
    <s v="Dansby Swanson"/>
    <x v="21"/>
    <x v="6"/>
    <n v="2"/>
    <n v="4"/>
    <x v="336"/>
  </r>
  <r>
    <s v="Enny Romero"/>
    <x v="17"/>
    <x v="1"/>
    <n v="5"/>
    <n v="10"/>
    <x v="336"/>
  </r>
  <r>
    <s v="Jose Ramirez"/>
    <x v="21"/>
    <x v="1"/>
    <n v="2"/>
    <n v="4"/>
    <x v="336"/>
  </r>
  <r>
    <s v="Preston Tucker"/>
    <x v="21"/>
    <x v="0"/>
    <n v="8"/>
    <n v="16"/>
    <x v="336"/>
  </r>
  <r>
    <s v="Taylor Rogers"/>
    <x v="13"/>
    <x v="1"/>
    <n v="5"/>
    <n v="10"/>
    <x v="336"/>
  </r>
  <r>
    <s v="Ty Blach"/>
    <x v="15"/>
    <x v="1"/>
    <n v="2"/>
    <n v="4"/>
    <x v="336"/>
  </r>
  <r>
    <s v="Tyler Saladino"/>
    <x v="22"/>
    <x v="4"/>
    <n v="2"/>
    <n v="4"/>
    <x v="336"/>
  </r>
  <r>
    <s v="Tyler Naquin"/>
    <x v="26"/>
    <x v="0"/>
    <n v="2"/>
    <n v="4"/>
    <x v="337"/>
  </r>
  <r>
    <s v="Rafael Devers"/>
    <x v="4"/>
    <x v="4"/>
    <n v="5"/>
    <n v="10"/>
    <x v="338"/>
  </r>
  <r>
    <s v="Seth Lugo"/>
    <x v="6"/>
    <x v="1"/>
    <n v="6"/>
    <n v="12"/>
    <x v="339"/>
  </r>
  <r>
    <s v="Nomar Mazara"/>
    <x v="16"/>
    <x v="0"/>
    <n v="8"/>
    <n v="16"/>
    <x v="340"/>
  </r>
  <r>
    <s v="Blake Swihart"/>
    <x v="4"/>
    <x v="5"/>
    <n v="4"/>
    <n v="8"/>
    <x v="341"/>
  </r>
  <r>
    <s v="Robert Gsellman"/>
    <x v="6"/>
    <x v="1"/>
    <n v="5"/>
    <n v="10"/>
    <x v="342"/>
  </r>
  <r>
    <s v="Matthew Boyd"/>
    <x v="3"/>
    <x v="1"/>
    <n v="4"/>
    <n v="8"/>
    <x v="343"/>
  </r>
  <r>
    <s v="Jorge Bonifacio"/>
    <x v="24"/>
    <x v="0"/>
    <n v="3"/>
    <n v="6"/>
    <x v="344"/>
  </r>
  <r>
    <s v="Danny Barnes"/>
    <x v="14"/>
    <x v="1"/>
    <n v="3"/>
    <n v="6"/>
    <x v="345"/>
  </r>
  <r>
    <s v="Delino DeShields"/>
    <x v="16"/>
    <x v="0"/>
    <n v="1"/>
    <n v="2"/>
    <x v="346"/>
  </r>
  <r>
    <s v="Deven Marrero"/>
    <x v="2"/>
    <x v="6"/>
    <n v="2"/>
    <n v="4"/>
    <x v="346"/>
  </r>
  <r>
    <s v="Gorkys Hernandez"/>
    <x v="15"/>
    <x v="0"/>
    <n v="1"/>
    <n v="2"/>
    <x v="346"/>
  </r>
  <r>
    <s v="Nick Goody"/>
    <x v="26"/>
    <x v="1"/>
    <n v="3"/>
    <n v="6"/>
    <x v="346"/>
  </r>
  <r>
    <s v="Daniel Norris"/>
    <x v="3"/>
    <x v="1"/>
    <n v="4"/>
    <n v="8"/>
    <x v="347"/>
  </r>
  <r>
    <s v="Aaron Altherr"/>
    <x v="5"/>
    <x v="0"/>
    <n v="2"/>
    <n v="4"/>
    <x v="348"/>
  </r>
  <r>
    <s v="Jose Martinez"/>
    <x v="19"/>
    <x v="0"/>
    <n v="2"/>
    <n v="4"/>
    <x v="349"/>
  </r>
  <r>
    <s v="Mikie Mahtook"/>
    <x v="3"/>
    <x v="0"/>
    <n v="4"/>
    <n v="8"/>
    <x v="349"/>
  </r>
  <r>
    <s v="Sammy Solis"/>
    <x v="17"/>
    <x v="1"/>
    <n v="2"/>
    <n v="4"/>
    <x v="350"/>
  </r>
  <r>
    <s v="Mitch Haniger"/>
    <x v="10"/>
    <x v="0"/>
    <n v="3"/>
    <n v="6"/>
    <x v="351"/>
  </r>
  <r>
    <s v="Manny Pina"/>
    <x v="25"/>
    <x v="5"/>
    <n v="6"/>
    <n v="12"/>
    <x v="352"/>
  </r>
  <r>
    <s v="Adam Morgan"/>
    <x v="5"/>
    <x v="1"/>
    <n v="8"/>
    <n v="16"/>
    <x v="353"/>
  </r>
  <r>
    <s v="Joey Gallo"/>
    <x v="16"/>
    <x v="2"/>
    <n v="3"/>
    <n v="6"/>
    <x v="353"/>
  </r>
  <r>
    <s v="Kelby Tomlinson"/>
    <x v="15"/>
    <x v="3"/>
    <n v="4"/>
    <n v="8"/>
    <x v="353"/>
  </r>
  <r>
    <s v="Kevan Smith"/>
    <x v="22"/>
    <x v="5"/>
    <n v="8"/>
    <n v="16"/>
    <x v="353"/>
  </r>
  <r>
    <s v="Omar Narvaez"/>
    <x v="22"/>
    <x v="5"/>
    <n v="7"/>
    <n v="14"/>
    <x v="353"/>
  </r>
  <r>
    <s v="Yadiel Rivera"/>
    <x v="27"/>
    <x v="4"/>
    <n v="5"/>
    <n v="10"/>
    <x v="353"/>
  </r>
  <r>
    <s v="Orlando Arcia"/>
    <x v="25"/>
    <x v="6"/>
    <n v="4"/>
    <n v="8"/>
    <x v="354"/>
  </r>
  <r>
    <s v="Clint Frazier"/>
    <x v="11"/>
    <x v="0"/>
    <n v="3"/>
    <n v="6"/>
    <x v="355"/>
  </r>
  <r>
    <s v="Ryon Healy"/>
    <x v="10"/>
    <x v="2"/>
    <n v="3"/>
    <n v="6"/>
    <x v="355"/>
  </r>
  <r>
    <s v="Elias Diaz"/>
    <x v="29"/>
    <x v="5"/>
    <n v="2"/>
    <n v="4"/>
    <x v="356"/>
  </r>
  <r>
    <s v="Jefry Marte"/>
    <x v="9"/>
    <x v="2"/>
    <n v="5"/>
    <n v="10"/>
    <x v="356"/>
  </r>
  <r>
    <s v="Vince Velasquez"/>
    <x v="5"/>
    <x v="1"/>
    <n v="7"/>
    <n v="14"/>
    <x v="356"/>
  </r>
  <r>
    <s v="Jacob Barnes"/>
    <x v="25"/>
    <x v="1"/>
    <n v="3"/>
    <n v="6"/>
    <x v="357"/>
  </r>
  <r>
    <s v="Tyler Austin"/>
    <x v="11"/>
    <x v="2"/>
    <n v="7"/>
    <n v="14"/>
    <x v="358"/>
  </r>
  <r>
    <s v="Mike Clevinger"/>
    <x v="26"/>
    <x v="1"/>
    <n v="7"/>
    <n v="14"/>
    <x v="359"/>
  </r>
  <r>
    <s v="Luke Maile"/>
    <x v="14"/>
    <x v="5"/>
    <n v="8"/>
    <n v="16"/>
    <x v="360"/>
  </r>
  <r>
    <s v="Matt Andriese"/>
    <x v="28"/>
    <x v="1"/>
    <n v="4"/>
    <n v="8"/>
    <x v="360"/>
  </r>
  <r>
    <s v="Blake Snell"/>
    <x v="28"/>
    <x v="1"/>
    <n v="5"/>
    <n v="10"/>
    <x v="361"/>
  </r>
  <r>
    <s v="Ben Gamel"/>
    <x v="10"/>
    <x v="0"/>
    <n v="6"/>
    <n v="12"/>
    <x v="362"/>
  </r>
  <r>
    <s v="Rafael Montero"/>
    <x v="6"/>
    <x v="1"/>
    <n v="2"/>
    <n v="4"/>
    <x v="363"/>
  </r>
  <r>
    <s v="Gregory Infante"/>
    <x v="22"/>
    <x v="1"/>
    <n v="4"/>
    <n v="8"/>
    <x v="364"/>
  </r>
  <r>
    <s v="John Ryan Murphy"/>
    <x v="2"/>
    <x v="5"/>
    <n v="5"/>
    <n v="10"/>
    <x v="364"/>
  </r>
  <r>
    <s v="Josh Osich"/>
    <x v="15"/>
    <x v="1"/>
    <n v="6"/>
    <n v="12"/>
    <x v="364"/>
  </r>
  <r>
    <s v="Juan Minaya"/>
    <x v="22"/>
    <x v="1"/>
    <n v="2"/>
    <n v="4"/>
    <x v="364"/>
  </r>
  <r>
    <s v="Wilmer Difo"/>
    <x v="17"/>
    <x v="3"/>
    <n v="1"/>
    <n v="2"/>
    <x v="365"/>
  </r>
  <r>
    <s v="Dovydas Neverauskas"/>
    <x v="29"/>
    <x v="1"/>
    <n v="8"/>
    <n v="16"/>
    <x v="366"/>
  </r>
  <r>
    <s v="Wandy Peralta"/>
    <x v="12"/>
    <x v="1"/>
    <n v="2"/>
    <n v="4"/>
    <x v="366"/>
  </r>
  <r>
    <s v="Kevin Plawecki"/>
    <x v="6"/>
    <x v="5"/>
    <n v="5"/>
    <n v="10"/>
    <x v="367"/>
  </r>
  <r>
    <s v="Jesus Aguilar"/>
    <x v="25"/>
    <x v="2"/>
    <n v="2"/>
    <n v="4"/>
    <x v="368"/>
  </r>
  <r>
    <s v="Max Stassi"/>
    <x v="7"/>
    <x v="5"/>
    <n v="8"/>
    <n v="16"/>
    <x v="369"/>
  </r>
  <r>
    <s v="Matt Grace"/>
    <x v="17"/>
    <x v="1"/>
    <n v="5"/>
    <n v="10"/>
    <x v="370"/>
  </r>
  <r>
    <s v="Steven Brault"/>
    <x v="29"/>
    <x v="1"/>
    <n v="2"/>
    <n v="4"/>
    <x v="370"/>
  </r>
  <r>
    <s v="Manuel Margot"/>
    <x v="20"/>
    <x v="0"/>
    <n v="2"/>
    <n v="4"/>
    <x v="371"/>
  </r>
  <r>
    <s v="Brent Suter"/>
    <x v="25"/>
    <x v="1"/>
    <n v="2"/>
    <n v="4"/>
    <x v="372"/>
  </r>
  <r>
    <s v="Edgar Santana"/>
    <x v="29"/>
    <x v="1"/>
    <n v="5"/>
    <n v="10"/>
    <x v="372"/>
  </r>
  <r>
    <s v="Josh Hader"/>
    <x v="25"/>
    <x v="1"/>
    <n v="6"/>
    <n v="12"/>
    <x v="372"/>
  </r>
  <r>
    <s v="Trey Mancini"/>
    <x v="23"/>
    <x v="0"/>
    <n v="8"/>
    <n v="16"/>
    <x v="372"/>
  </r>
  <r>
    <s v="Tyler Glasnow"/>
    <x v="29"/>
    <x v="1"/>
    <n v="4"/>
    <n v="8"/>
    <x v="372"/>
  </r>
  <r>
    <s v="Jandel Gustave"/>
    <x v="7"/>
    <x v="1"/>
    <n v="5"/>
    <n v="10"/>
    <x v="373"/>
  </r>
  <r>
    <s v="Jose Pirela"/>
    <x v="20"/>
    <x v="0"/>
    <n v="4"/>
    <n v="8"/>
    <x v="374"/>
  </r>
  <r>
    <s v="Richard Bleier"/>
    <x v="23"/>
    <x v="1"/>
    <n v="3"/>
    <n v="6"/>
    <x v="375"/>
  </r>
  <r>
    <s v="Brandon Nimmo"/>
    <x v="6"/>
    <x v="0"/>
    <n v="3"/>
    <n v="6"/>
    <x v="376"/>
  </r>
  <r>
    <s v="Matt Bush"/>
    <x v="16"/>
    <x v="1"/>
    <n v="1"/>
    <n v="2"/>
    <x v="377"/>
  </r>
  <r>
    <s v="Dinelson Lamet"/>
    <x v="20"/>
    <x v="1"/>
    <n v="2"/>
    <n v="4"/>
    <x v="378"/>
  </r>
  <r>
    <s v="Colin Rea"/>
    <x v="20"/>
    <x v="1"/>
    <n v="1"/>
    <n v="2"/>
    <x v="379"/>
  </r>
  <r>
    <s v="A.J. Cole"/>
    <x v="17"/>
    <x v="1"/>
    <n v="3"/>
    <n v="6"/>
    <x v="380"/>
  </r>
  <r>
    <s v="A.J. Minter"/>
    <x v="21"/>
    <x v="1"/>
    <n v="4"/>
    <n v="8"/>
    <x v="381"/>
  </r>
  <r>
    <s v="Austin Barnes"/>
    <x v="1"/>
    <x v="5"/>
    <n v="2"/>
    <n v="4"/>
    <x v="381"/>
  </r>
  <r>
    <s v="Jake Faria"/>
    <x v="28"/>
    <x v="1"/>
    <n v="2"/>
    <n v="4"/>
    <x v="381"/>
  </r>
  <r>
    <s v="Jarlin Garcia"/>
    <x v="27"/>
    <x v="1"/>
    <n v="4"/>
    <n v="8"/>
    <x v="381"/>
  </r>
  <r>
    <s v="Johan Camargo"/>
    <x v="21"/>
    <x v="4"/>
    <n v="2"/>
    <n v="4"/>
    <x v="381"/>
  </r>
  <r>
    <s v="Jon Gray"/>
    <x v="18"/>
    <x v="1"/>
    <n v="3"/>
    <n v="6"/>
    <x v="381"/>
  </r>
  <r>
    <s v="Lucas Giolito"/>
    <x v="22"/>
    <x v="1"/>
    <n v="3"/>
    <n v="6"/>
    <x v="381"/>
  </r>
  <r>
    <s v="Luis Castillo"/>
    <x v="12"/>
    <x v="1"/>
    <n v="4"/>
    <n v="8"/>
    <x v="381"/>
  </r>
  <r>
    <s v="Luiz Gohara"/>
    <x v="21"/>
    <x v="1"/>
    <n v="6"/>
    <n v="12"/>
    <x v="381"/>
  </r>
  <r>
    <s v="Ozzie Albies"/>
    <x v="21"/>
    <x v="3"/>
    <n v="2"/>
    <n v="4"/>
    <x v="381"/>
  </r>
  <r>
    <s v="Phillip Evans"/>
    <x v="6"/>
    <x v="4"/>
    <n v="4"/>
    <n v="8"/>
    <x v="381"/>
  </r>
  <r>
    <s v="Reynaldo Lopez"/>
    <x v="22"/>
    <x v="1"/>
    <n v="6"/>
    <n v="12"/>
    <x v="381"/>
  </r>
  <r>
    <s v="Ross Stripling"/>
    <x v="1"/>
    <x v="1"/>
    <n v="1"/>
    <n v="2"/>
    <x v="381"/>
  </r>
  <r>
    <s v="Ryan Buchter"/>
    <x v="30"/>
    <x v="1"/>
    <n v="2"/>
    <n v="4"/>
    <x v="381"/>
  </r>
  <r>
    <s v="Ryan Dull"/>
    <x v="30"/>
    <x v="1"/>
    <n v="3"/>
    <n v="6"/>
    <x v="381"/>
  </r>
  <r>
    <s v="Scott Alexander"/>
    <x v="1"/>
    <x v="1"/>
    <n v="1"/>
    <n v="2"/>
    <x v="381"/>
  </r>
  <r>
    <s v="Scott Oberg"/>
    <x v="18"/>
    <x v="1"/>
    <n v="1"/>
    <n v="2"/>
    <x v="381"/>
  </r>
  <r>
    <s v="Sean Newcomb"/>
    <x v="21"/>
    <x v="1"/>
    <n v="3"/>
    <n v="6"/>
    <x v="381"/>
  </r>
  <r>
    <s v="Shane Carle"/>
    <x v="21"/>
    <x v="1"/>
    <n v="4"/>
    <n v="8"/>
    <x v="381"/>
  </r>
  <r>
    <s v="Trevor Gott"/>
    <x v="17"/>
    <x v="1"/>
    <n v="6"/>
    <n v="12"/>
    <x v="381"/>
  </r>
  <r>
    <s v="Trevor Hildenberger"/>
    <x v="13"/>
    <x v="1"/>
    <n v="3"/>
    <n v="6"/>
    <x v="381"/>
  </r>
  <r>
    <s v="Trevor Story"/>
    <x v="18"/>
    <x v="6"/>
    <n v="1"/>
    <n v="2"/>
    <x v="381"/>
  </r>
  <r>
    <s v="Tyler Anderson"/>
    <x v="18"/>
    <x v="1"/>
    <n v="3"/>
    <n v="6"/>
    <x v="381"/>
  </r>
  <r>
    <s v="Yoan Moncada"/>
    <x v="22"/>
    <x v="3"/>
    <n v="3"/>
    <n v="6"/>
    <x v="381"/>
  </r>
  <r>
    <s v="Buck Farmer"/>
    <x v="3"/>
    <x v="1"/>
    <n v="4"/>
    <n v="8"/>
    <x v="382"/>
  </r>
  <r>
    <s v="Sam Tuivailala"/>
    <x v="19"/>
    <x v="1"/>
    <n v="8"/>
    <n v="16"/>
    <x v="383"/>
  </r>
  <r>
    <s v="Derek Fisher"/>
    <x v="7"/>
    <x v="0"/>
    <n v="9"/>
    <n v="18"/>
    <x v="384"/>
  </r>
  <r>
    <s v="Oliver Drake"/>
    <x v="25"/>
    <x v="1"/>
    <n v="6"/>
    <n v="12"/>
    <x v="385"/>
  </r>
  <r>
    <s v="Jakob Junis"/>
    <x v="24"/>
    <x v="1"/>
    <n v="4"/>
    <n v="8"/>
    <x v="386"/>
  </r>
  <r>
    <s v="Edubray Ramos"/>
    <x v="5"/>
    <x v="1"/>
    <n v="9"/>
    <n v="18"/>
    <x v="387"/>
  </r>
  <r>
    <s v="Marco Hernandez"/>
    <x v="4"/>
    <x v="6"/>
    <n v="6"/>
    <n v="12"/>
    <x v="387"/>
  </r>
  <r>
    <s v="Brian Goodwin"/>
    <x v="17"/>
    <x v="0"/>
    <n v="8"/>
    <n v="16"/>
    <x v="388"/>
  </r>
  <r>
    <s v="James Pazos"/>
    <x v="10"/>
    <x v="1"/>
    <n v="5"/>
    <n v="10"/>
    <x v="388"/>
  </r>
  <r>
    <s v="Jonathan Holder"/>
    <x v="11"/>
    <x v="1"/>
    <n v="4"/>
    <n v="8"/>
    <x v="389"/>
  </r>
  <r>
    <s v="Hunter Renfroe"/>
    <x v="20"/>
    <x v="0"/>
    <n v="5"/>
    <n v="10"/>
    <x v="390"/>
  </r>
  <r>
    <s v="Dixon Machado"/>
    <x v="3"/>
    <x v="3"/>
    <n v="5"/>
    <n v="10"/>
    <x v="391"/>
  </r>
  <r>
    <s v="Mike Wright Jr."/>
    <x v="23"/>
    <x v="1"/>
    <n v="6"/>
    <n v="12"/>
    <x v="392"/>
  </r>
  <r>
    <s v="Paul Sewald"/>
    <x v="6"/>
    <x v="1"/>
    <n v="2"/>
    <n v="4"/>
    <x v="393"/>
  </r>
  <r>
    <s v="Austin Hedges"/>
    <x v="20"/>
    <x v="5"/>
    <n v="2"/>
    <n v="4"/>
    <x v="394"/>
  </r>
  <r>
    <s v="Mallex Smith"/>
    <x v="28"/>
    <x v="0"/>
    <n v="2"/>
    <n v="4"/>
    <x v="395"/>
  </r>
  <r>
    <s v="Miguel Castro"/>
    <x v="23"/>
    <x v="1"/>
    <n v="1"/>
    <n v="2"/>
    <x v="395"/>
  </r>
  <r>
    <s v="Nick Williams"/>
    <x v="5"/>
    <x v="0"/>
    <n v="2"/>
    <n v="4"/>
    <x v="395"/>
  </r>
  <r>
    <s v="Nicky Delmonico"/>
    <x v="22"/>
    <x v="0"/>
    <n v="2"/>
    <n v="4"/>
    <x v="395"/>
  </r>
  <r>
    <s v="Bryan Mitchell"/>
    <x v="20"/>
    <x v="1"/>
    <n v="2"/>
    <n v="4"/>
    <x v="396"/>
  </r>
  <r>
    <s v="Matt Strahm"/>
    <x v="20"/>
    <x v="1"/>
    <n v="2"/>
    <n v="4"/>
    <x v="397"/>
  </r>
  <r>
    <s v="Chris Stratton"/>
    <x v="15"/>
    <x v="1"/>
    <n v="2"/>
    <n v="4"/>
    <x v="398"/>
  </r>
  <r>
    <s v="Rhys Hoskins"/>
    <x v="5"/>
    <x v="0"/>
    <n v="2"/>
    <n v="4"/>
    <x v="398"/>
  </r>
  <r>
    <s v="Rob Refsnyder"/>
    <x v="28"/>
    <x v="3"/>
    <n v="3"/>
    <n v="6"/>
    <x v="398"/>
  </r>
  <r>
    <s v="Burch Smith"/>
    <x v="24"/>
    <x v="1"/>
    <n v="1"/>
    <n v="2"/>
    <x v="399"/>
  </r>
  <r>
    <s v="Jose Leclerc"/>
    <x v="16"/>
    <x v="1"/>
    <n v="2"/>
    <n v="4"/>
    <x v="400"/>
  </r>
  <r>
    <s v="Adam Engel"/>
    <x v="22"/>
    <x v="0"/>
    <n v="5"/>
    <n v="10"/>
    <x v="401"/>
  </r>
  <r>
    <s v="Austin Maddox"/>
    <x v="4"/>
    <x v="1"/>
    <n v="4"/>
    <n v="8"/>
    <x v="401"/>
  </r>
  <r>
    <s v="Carson Fulmer"/>
    <x v="22"/>
    <x v="1"/>
    <n v="6"/>
    <n v="12"/>
    <x v="401"/>
  </r>
  <r>
    <s v="Dalton Pompey"/>
    <x v="14"/>
    <x v="0"/>
    <n v="4"/>
    <n v="8"/>
    <x v="401"/>
  </r>
  <r>
    <s v="Daniel Stumpf"/>
    <x v="3"/>
    <x v="1"/>
    <n v="5"/>
    <n v="10"/>
    <x v="401"/>
  </r>
  <r>
    <s v="Koda Glover"/>
    <x v="17"/>
    <x v="1"/>
    <n v="6"/>
    <n v="12"/>
    <x v="402"/>
  </r>
  <r>
    <s v="Alex Dickerson"/>
    <x v="20"/>
    <x v="0"/>
    <n v="4"/>
    <n v="8"/>
    <x v="403"/>
  </r>
  <r>
    <s v="Alex Meyer"/>
    <x v="9"/>
    <x v="1"/>
    <n v="5"/>
    <n v="10"/>
    <x v="404"/>
  </r>
  <r>
    <s v="Drew VerHagen"/>
    <x v="3"/>
    <x v="1"/>
    <n v="8"/>
    <n v="16"/>
    <x v="405"/>
  </r>
  <r>
    <s v="John Hicks"/>
    <x v="3"/>
    <x v="5"/>
    <n v="4"/>
    <n v="8"/>
    <x v="406"/>
  </r>
  <r>
    <s v="Tyler Wade"/>
    <x v="11"/>
    <x v="0"/>
    <n v="6"/>
    <n v="12"/>
    <x v="406"/>
  </r>
  <r>
    <s v="Bradley Zimmer"/>
    <x v="26"/>
    <x v="0"/>
    <n v="1"/>
    <n v="2"/>
    <x v="407"/>
  </r>
  <r>
    <s v="Keynan Middleton"/>
    <x v="9"/>
    <x v="1"/>
    <n v="7"/>
    <n v="14"/>
    <x v="408"/>
  </r>
  <r>
    <s v="Nick Pivetta"/>
    <x v="5"/>
    <x v="1"/>
    <n v="8"/>
    <n v="16"/>
    <x v="408"/>
  </r>
  <r>
    <s v="Luke Weaver"/>
    <x v="19"/>
    <x v="1"/>
    <n v="8"/>
    <n v="16"/>
    <x v="409"/>
  </r>
  <r>
    <s v="Jett Bandy"/>
    <x v="25"/>
    <x v="5"/>
    <n v="6"/>
    <n v="12"/>
    <x v="410"/>
  </r>
  <r>
    <s v="Warwick Saupold"/>
    <x v="3"/>
    <x v="1"/>
    <n v="8"/>
    <n v="16"/>
    <x v="411"/>
  </r>
  <r>
    <s v="Marco Gonzales"/>
    <x v="10"/>
    <x v="1"/>
    <n v="3"/>
    <n v="6"/>
    <x v="412"/>
  </r>
  <r>
    <s v="Austin Pruitt"/>
    <x v="28"/>
    <x v="1"/>
    <n v="4"/>
    <n v="8"/>
    <x v="413"/>
  </r>
  <r>
    <s v="Brandon Woodruff"/>
    <x v="25"/>
    <x v="1"/>
    <n v="8"/>
    <n v="16"/>
    <x v="414"/>
  </r>
  <r>
    <s v="Carlos Asuaje"/>
    <x v="20"/>
    <x v="3"/>
    <n v="7"/>
    <n v="14"/>
    <x v="414"/>
  </r>
  <r>
    <s v="J.D. Davis"/>
    <x v="7"/>
    <x v="4"/>
    <n v="5"/>
    <n v="10"/>
    <x v="414"/>
  </r>
  <r>
    <s v="Andrew Triggs"/>
    <x v="30"/>
    <x v="1"/>
    <n v="4"/>
    <n v="8"/>
    <x v="415"/>
  </r>
  <r>
    <s v="Antonio Senzatela"/>
    <x v="18"/>
    <x v="1"/>
    <n v="3"/>
    <n v="6"/>
    <x v="415"/>
  </r>
  <r>
    <s v="Ben Lively"/>
    <x v="5"/>
    <x v="1"/>
    <n v="3"/>
    <n v="6"/>
    <x v="415"/>
  </r>
  <r>
    <s v="Bruce Maxwell"/>
    <x v="30"/>
    <x v="5"/>
    <n v="2"/>
    <n v="4"/>
    <x v="415"/>
  </r>
  <r>
    <s v="Carlos Estevez"/>
    <x v="18"/>
    <x v="1"/>
    <n v="5"/>
    <n v="10"/>
    <x v="415"/>
  </r>
  <r>
    <s v="Chad Pinder"/>
    <x v="30"/>
    <x v="6"/>
    <n v="7"/>
    <n v="14"/>
    <x v="415"/>
  </r>
  <r>
    <s v="Colin Moran"/>
    <x v="29"/>
    <x v="4"/>
    <n v="3"/>
    <n v="6"/>
    <x v="415"/>
  </r>
  <r>
    <s v="Daniel Coulombe"/>
    <x v="30"/>
    <x v="1"/>
    <n v="7"/>
    <n v="14"/>
    <x v="415"/>
  </r>
  <r>
    <s v="German Marquez"/>
    <x v="18"/>
    <x v="1"/>
    <n v="7"/>
    <n v="14"/>
    <x v="415"/>
  </r>
  <r>
    <s v="J.T. Chargois"/>
    <x v="1"/>
    <x v="1"/>
    <n v="8"/>
    <n v="16"/>
    <x v="415"/>
  </r>
  <r>
    <s v="Jharel Cotton"/>
    <x v="30"/>
    <x v="1"/>
    <n v="4"/>
    <n v="8"/>
    <x v="415"/>
  </r>
  <r>
    <s v="Julio Urias"/>
    <x v="1"/>
    <x v="1"/>
    <n v="5"/>
    <n v="10"/>
    <x v="415"/>
  </r>
  <r>
    <s v="Kyle Freeland"/>
    <x v="18"/>
    <x v="1"/>
    <n v="6"/>
    <n v="12"/>
    <x v="415"/>
  </r>
  <r>
    <s v="Pat Valaika"/>
    <x v="18"/>
    <x v="6"/>
    <n v="2"/>
    <n v="4"/>
    <x v="415"/>
  </r>
  <r>
    <s v="Roberto E Gomez"/>
    <x v="15"/>
    <x v="1"/>
    <n v="4"/>
    <n v="8"/>
    <x v="415"/>
  </r>
  <r>
    <s v="Sean Manaea"/>
    <x v="30"/>
    <x v="1"/>
    <n v="5"/>
    <n v="10"/>
    <x v="415"/>
  </r>
  <r>
    <s v="Tony Wolters"/>
    <x v="18"/>
    <x v="5"/>
    <n v="6"/>
    <n v="12"/>
    <x v="415"/>
  </r>
  <r>
    <s v="Wilmer Font"/>
    <x v="1"/>
    <x v="1"/>
    <n v="2"/>
    <n v="4"/>
    <x v="415"/>
  </r>
  <r>
    <s v="Dan Altavilla"/>
    <x v="10"/>
    <x v="1"/>
    <n v="1"/>
    <n v="2"/>
    <x v="416"/>
  </r>
  <r>
    <s v="Jose Alvarado"/>
    <x v="28"/>
    <x v="1"/>
    <n v="8"/>
    <n v="16"/>
    <x v="417"/>
  </r>
  <r>
    <s v="Mark Leiter"/>
    <x v="5"/>
    <x v="1"/>
    <n v="2"/>
    <n v="4"/>
    <x v="418"/>
  </r>
  <r>
    <s v="JaCoby Jones"/>
    <x v="3"/>
    <x v="0"/>
    <n v="5"/>
    <n v="10"/>
    <x v="419"/>
  </r>
  <r>
    <s v="Aaron Bummer"/>
    <x v="22"/>
    <x v="1"/>
    <n v="2"/>
    <n v="4"/>
    <x v="420"/>
  </r>
  <r>
    <s v="Gabriel Ynoa"/>
    <x v="23"/>
    <x v="1"/>
    <n v="8"/>
    <n v="16"/>
    <x v="420"/>
  </r>
  <r>
    <s v="Jake Thompson"/>
    <x v="5"/>
    <x v="1"/>
    <n v="5"/>
    <n v="10"/>
    <x v="420"/>
  </r>
  <r>
    <s v="Amed Rosario"/>
    <x v="6"/>
    <x v="6"/>
    <n v="2"/>
    <n v="4"/>
    <x v="421"/>
  </r>
  <r>
    <s v="Johnny Barbato"/>
    <x v="3"/>
    <x v="1"/>
    <n v="2"/>
    <n v="4"/>
    <x v="422"/>
  </r>
  <r>
    <s v="Allen Cordoba"/>
    <x v="20"/>
    <x v="3"/>
    <n v="2"/>
    <n v="4"/>
    <x v="423"/>
  </r>
  <r>
    <s v="Christian Villanueva"/>
    <x v="20"/>
    <x v="4"/>
    <n v="5"/>
    <n v="10"/>
    <x v="423"/>
  </r>
  <r>
    <s v="Noe Ramirez"/>
    <x v="9"/>
    <x v="1"/>
    <n v="6"/>
    <n v="12"/>
    <x v="423"/>
  </r>
  <r>
    <s v="Daniel Robertson"/>
    <x v="28"/>
    <x v="6"/>
    <n v="8"/>
    <n v="16"/>
    <x v="424"/>
  </r>
  <r>
    <s v="Giovanny Urshela"/>
    <x v="26"/>
    <x v="4"/>
    <n v="4"/>
    <n v="8"/>
    <x v="424"/>
  </r>
  <r>
    <s v="Jeimer Candelario"/>
    <x v="3"/>
    <x v="4"/>
    <n v="5"/>
    <n v="10"/>
    <x v="424"/>
  </r>
  <r>
    <s v="Tyler Olson"/>
    <x v="26"/>
    <x v="1"/>
    <n v="4"/>
    <n v="8"/>
    <x v="424"/>
  </r>
  <r>
    <s v="Andrew Kittredge"/>
    <x v="28"/>
    <x v="1"/>
    <n v="3"/>
    <n v="6"/>
    <x v="425"/>
  </r>
  <r>
    <s v="Andrew Knapp"/>
    <x v="5"/>
    <x v="5"/>
    <n v="3"/>
    <n v="6"/>
    <x v="426"/>
  </r>
  <r>
    <s v="Brian Johnson"/>
    <x v="4"/>
    <x v="1"/>
    <n v="1"/>
    <n v="2"/>
    <x v="426"/>
  </r>
  <r>
    <s v="Hoby Milner"/>
    <x v="5"/>
    <x v="1"/>
    <n v="2"/>
    <n v="4"/>
    <x v="426"/>
  </r>
  <r>
    <s v="Drew Robinson"/>
    <x v="16"/>
    <x v="0"/>
    <n v="1"/>
    <n v="2"/>
    <x v="427"/>
  </r>
  <r>
    <s v="Erik Gonzalez"/>
    <x v="26"/>
    <x v="6"/>
    <n v="3"/>
    <n v="6"/>
    <x v="428"/>
  </r>
  <r>
    <s v="Gift Ngoepe"/>
    <x v="14"/>
    <x v="3"/>
    <n v="4"/>
    <n v="8"/>
    <x v="429"/>
  </r>
  <r>
    <s v="Amir Garrett"/>
    <x v="12"/>
    <x v="1"/>
    <n v="2"/>
    <n v="4"/>
    <x v="430"/>
  </r>
  <r>
    <s v="Austin Brice"/>
    <x v="12"/>
    <x v="1"/>
    <n v="2"/>
    <n v="4"/>
    <x v="430"/>
  </r>
  <r>
    <s v="Boog Powell"/>
    <x v="30"/>
    <x v="0"/>
    <n v="4"/>
    <n v="8"/>
    <x v="430"/>
  </r>
  <r>
    <s v="Cody Reed"/>
    <x v="12"/>
    <x v="1"/>
    <n v="2"/>
    <n v="4"/>
    <x v="430"/>
  </r>
  <r>
    <s v="Daniel Gossett"/>
    <x v="30"/>
    <x v="1"/>
    <n v="3"/>
    <n v="6"/>
    <x v="430"/>
  </r>
  <r>
    <s v="Daniel Mengden"/>
    <x v="30"/>
    <x v="1"/>
    <n v="3"/>
    <n v="6"/>
    <x v="430"/>
  </r>
  <r>
    <s v="Emilio Pagan"/>
    <x v="30"/>
    <x v="1"/>
    <n v="4"/>
    <n v="8"/>
    <x v="430"/>
  </r>
  <r>
    <s v="Kyle Farmer"/>
    <x v="1"/>
    <x v="5"/>
    <n v="6"/>
    <n v="12"/>
    <x v="430"/>
  </r>
  <r>
    <s v="Matt Chapman"/>
    <x v="30"/>
    <x v="4"/>
    <n v="2"/>
    <n v="4"/>
    <x v="430"/>
  </r>
  <r>
    <s v="Matt Olson"/>
    <x v="30"/>
    <x v="2"/>
    <n v="4"/>
    <n v="8"/>
    <x v="430"/>
  </r>
  <r>
    <s v="Mitch Garver"/>
    <x v="13"/>
    <x v="5"/>
    <n v="6"/>
    <n v="12"/>
    <x v="430"/>
  </r>
  <r>
    <s v="Paul Blackburn"/>
    <x v="30"/>
    <x v="1"/>
    <n v="1"/>
    <n v="2"/>
    <x v="430"/>
  </r>
  <r>
    <s v="Victor Caratini"/>
    <x v="8"/>
    <x v="5"/>
    <n v="2"/>
    <n v="4"/>
    <x v="430"/>
  </r>
  <r>
    <s v="Joe Jimenez"/>
    <x v="3"/>
    <x v="1"/>
    <n v="3"/>
    <n v="6"/>
    <x v="431"/>
  </r>
  <r>
    <s v="Raul Mondesi"/>
    <x v="24"/>
    <x v="3"/>
    <n v="1"/>
    <n v="2"/>
    <x v="432"/>
  </r>
  <r>
    <s v="Hector Velazquez"/>
    <x v="4"/>
    <x v="1"/>
    <n v="1"/>
    <n v="2"/>
    <x v="433"/>
  </r>
  <r>
    <s v="Jeff Hoffman"/>
    <x v="18"/>
    <x v="1"/>
    <n v="3"/>
    <n v="6"/>
    <x v="433"/>
  </r>
  <r>
    <s v="Jorge Alfaro"/>
    <x v="5"/>
    <x v="5"/>
    <n v="4"/>
    <n v="8"/>
    <x v="433"/>
  </r>
  <r>
    <s v="Mike Tauchman"/>
    <x v="18"/>
    <x v="0"/>
    <n v="6"/>
    <n v="12"/>
    <x v="433"/>
  </r>
  <r>
    <s v="Ricardo Rodriguez"/>
    <x v="16"/>
    <x v="1"/>
    <n v="3"/>
    <n v="6"/>
    <x v="433"/>
  </r>
  <r>
    <s v="Ryan McMahon"/>
    <x v="18"/>
    <x v="2"/>
    <n v="1"/>
    <n v="2"/>
    <x v="433"/>
  </r>
  <r>
    <s v="Joey Wendle"/>
    <x v="28"/>
    <x v="3"/>
    <n v="3"/>
    <n v="6"/>
    <x v="434"/>
  </r>
  <r>
    <s v="Kyle McGrath"/>
    <x v="20"/>
    <x v="1"/>
    <n v="3"/>
    <n v="6"/>
    <x v="434"/>
  </r>
  <r>
    <s v="Dominic Smith"/>
    <x v="6"/>
    <x v="2"/>
    <n v="4"/>
    <n v="8"/>
    <x v="435"/>
  </r>
  <r>
    <s v="Eric Skoglund"/>
    <x v="24"/>
    <x v="1"/>
    <n v="8"/>
    <n v="16"/>
    <x v="436"/>
  </r>
  <r>
    <s v="Anthony Santander"/>
    <x v="23"/>
    <x v="0"/>
    <n v="9"/>
    <n v="18"/>
    <x v="437"/>
  </r>
  <r>
    <s v="Chance Sisco"/>
    <x v="23"/>
    <x v="5"/>
    <n v="6"/>
    <n v="12"/>
    <x v="437"/>
  </r>
  <r>
    <s v="Franchy Cordero"/>
    <x v="20"/>
    <x v="0"/>
    <n v="4"/>
    <n v="8"/>
    <x v="437"/>
  </r>
  <r>
    <s v="Cam Gallagher"/>
    <x v="24"/>
    <x v="5"/>
    <n v="9"/>
    <n v="18"/>
    <x v="438"/>
  </r>
  <r>
    <s v="Bubba Starling"/>
    <x v="24"/>
    <x v="0"/>
    <n v="6"/>
    <n v="12"/>
    <x v="439"/>
  </r>
  <r>
    <s v="Casey Lawrence"/>
    <x v="10"/>
    <x v="1"/>
    <n v="8"/>
    <n v="16"/>
    <x v="440"/>
  </r>
  <r>
    <s v="Clayton Blackburn"/>
    <x v="16"/>
    <x v="1"/>
    <n v="5"/>
    <n v="10"/>
    <x v="440"/>
  </r>
  <r>
    <s v="Raudy Read"/>
    <x v="17"/>
    <x v="5"/>
    <n v="4"/>
    <n v="8"/>
    <x v="440"/>
  </r>
  <r>
    <s v="Ronald Herrera"/>
    <x v="16"/>
    <x v="1"/>
    <n v="5"/>
    <n v="10"/>
    <x v="440"/>
  </r>
  <r>
    <s v="Ryan Merritt"/>
    <x v="26"/>
    <x v="1"/>
    <n v="5"/>
    <n v="10"/>
    <x v="441"/>
  </r>
  <r>
    <s v="Daniel Vogelbach"/>
    <x v="10"/>
    <x v="2"/>
    <n v="6"/>
    <n v="12"/>
    <x v="442"/>
  </r>
  <r>
    <s v="Mike Marjama"/>
    <x v="10"/>
    <x v="5"/>
    <n v="2"/>
    <n v="4"/>
    <x v="442"/>
  </r>
  <r>
    <s v="Jacob Rhame"/>
    <x v="6"/>
    <x v="1"/>
    <n v="2"/>
    <n v="4"/>
    <x v="443"/>
  </r>
  <r>
    <s v="Alex Reyes"/>
    <x v="19"/>
    <x v="1"/>
    <n v="2"/>
    <n v="4"/>
    <x v="444"/>
  </r>
  <r>
    <s v="Jose De Leon"/>
    <x v="28"/>
    <x v="1"/>
    <n v="1"/>
    <n v="2"/>
    <x v="444"/>
  </r>
  <r>
    <s v="J.P. Crawford"/>
    <x v="5"/>
    <x v="6"/>
    <n v="2"/>
    <n v="4"/>
    <x v="445"/>
  </r>
  <r>
    <s v="Reyes Moronta"/>
    <x v="15"/>
    <x v="1"/>
    <n v="2"/>
    <n v="4"/>
    <x v="445"/>
  </r>
  <r>
    <s v="Victor Arano"/>
    <x v="5"/>
    <x v="1"/>
    <n v="2"/>
    <n v="4"/>
    <x v="445"/>
  </r>
  <r>
    <s v="Anthony Alford"/>
    <x v="14"/>
    <x v="0"/>
    <n v="2"/>
    <n v="4"/>
    <x v="446"/>
  </r>
  <r>
    <s v="Adam Cimber"/>
    <x v="20"/>
    <x v="1"/>
    <n v="2"/>
    <n v="4"/>
    <x v="447"/>
  </r>
  <r>
    <s v="Bobby Poyner"/>
    <x v="4"/>
    <x v="1"/>
    <n v="2"/>
    <n v="4"/>
    <x v="447"/>
  </r>
  <r>
    <s v="Brad Keller"/>
    <x v="24"/>
    <x v="1"/>
    <n v="3"/>
    <n v="6"/>
    <x v="447"/>
  </r>
  <r>
    <s v="Brady Rodgers"/>
    <x v="7"/>
    <x v="1"/>
    <n v="1"/>
    <n v="2"/>
    <x v="447"/>
  </r>
  <r>
    <s v="Brian Anderson"/>
    <x v="27"/>
    <x v="4"/>
    <n v="2"/>
    <n v="4"/>
    <x v="447"/>
  </r>
  <r>
    <s v="Carlos Tocci"/>
    <x v="16"/>
    <x v="0"/>
    <n v="5"/>
    <n v="10"/>
    <x v="447"/>
  </r>
  <r>
    <s v="Chad Wallach"/>
    <x v="27"/>
    <x v="5"/>
    <n v="4"/>
    <n v="8"/>
    <x v="447"/>
  </r>
  <r>
    <s v="Cody Anderson"/>
    <x v="26"/>
    <x v="1"/>
    <n v="6"/>
    <n v="12"/>
    <x v="447"/>
  </r>
  <r>
    <s v="Dean Deetz"/>
    <x v="7"/>
    <x v="1"/>
    <n v="4"/>
    <n v="8"/>
    <x v="447"/>
  </r>
  <r>
    <s v="Gabriel Moya"/>
    <x v="13"/>
    <x v="1"/>
    <n v="5"/>
    <n v="10"/>
    <x v="447"/>
  </r>
  <r>
    <s v="Garrett Cooper"/>
    <x v="27"/>
    <x v="2"/>
    <n v="6"/>
    <n v="12"/>
    <x v="447"/>
  </r>
  <r>
    <s v="Jack Flaherty"/>
    <x v="19"/>
    <x v="1"/>
    <n v="4"/>
    <n v="8"/>
    <x v="447"/>
  </r>
  <r>
    <s v="Jackson Stephens"/>
    <x v="12"/>
    <x v="1"/>
    <n v="5"/>
    <n v="10"/>
    <x v="447"/>
  </r>
  <r>
    <s v="Jesse Winker"/>
    <x v="12"/>
    <x v="0"/>
    <n v="8"/>
    <n v="16"/>
    <x v="447"/>
  </r>
  <r>
    <s v="Joe Palumbo"/>
    <x v="16"/>
    <x v="1"/>
    <n v="4"/>
    <n v="8"/>
    <x v="447"/>
  </r>
  <r>
    <s v="Jordan Hicks"/>
    <x v="19"/>
    <x v="1"/>
    <n v="6"/>
    <n v="12"/>
    <x v="447"/>
  </r>
  <r>
    <s v="JT Riddle"/>
    <x v="27"/>
    <x v="6"/>
    <n v="1"/>
    <n v="2"/>
    <x v="447"/>
  </r>
  <r>
    <s v="Julian Fernandez"/>
    <x v="15"/>
    <x v="1"/>
    <n v="7"/>
    <n v="14"/>
    <x v="447"/>
  </r>
  <r>
    <s v="Kevin Shackelford"/>
    <x v="12"/>
    <x v="1"/>
    <n v="8"/>
    <n v="16"/>
    <x v="447"/>
  </r>
  <r>
    <s v="Lewis Brinson"/>
    <x v="27"/>
    <x v="0"/>
    <n v="8"/>
    <n v="16"/>
    <x v="447"/>
  </r>
  <r>
    <s v="Luke Bard"/>
    <x v="9"/>
    <x v="1"/>
    <n v="11"/>
    <n v="22"/>
    <x v="447"/>
  </r>
  <r>
    <s v="Marcus Walden"/>
    <x v="4"/>
    <x v="1"/>
    <n v="2"/>
    <n v="4"/>
    <x v="447"/>
  </r>
  <r>
    <s v="Mike Mayers"/>
    <x v="19"/>
    <x v="1"/>
    <n v="5"/>
    <n v="10"/>
    <x v="447"/>
  </r>
  <r>
    <s v="Nestor Cortes"/>
    <x v="23"/>
    <x v="1"/>
    <n v="6"/>
    <n v="12"/>
    <x v="447"/>
  </r>
  <r>
    <s v="Nick Burdi"/>
    <x v="29"/>
    <x v="1"/>
    <n v="8"/>
    <n v="13"/>
    <x v="447"/>
  </r>
  <r>
    <s v="Nik Turley"/>
    <x v="29"/>
    <x v="1"/>
    <n v="4"/>
    <n v="8"/>
    <x v="447"/>
  </r>
  <r>
    <s v="Pedro Araujo"/>
    <x v="23"/>
    <x v="1"/>
    <n v="8"/>
    <n v="13"/>
    <x v="447"/>
  </r>
  <r>
    <s v="Phillip Ervin"/>
    <x v="12"/>
    <x v="0"/>
    <n v="4"/>
    <n v="8"/>
    <x v="447"/>
  </r>
  <r>
    <s v="Pierce Johnson"/>
    <x v="15"/>
    <x v="1"/>
    <n v="4"/>
    <n v="8"/>
    <x v="447"/>
  </r>
  <r>
    <s v="Rayan Gonzalez"/>
    <x v="18"/>
    <x v="1"/>
    <n v="11"/>
    <n v="13"/>
    <x v="447"/>
  </r>
  <r>
    <s v="Renato Nunez"/>
    <x v="30"/>
    <x v="0"/>
    <n v="5"/>
    <n v="10"/>
    <x v="447"/>
  </r>
  <r>
    <s v="Rookie Davis"/>
    <x v="12"/>
    <x v="1"/>
    <n v="2"/>
    <n v="4"/>
    <x v="447"/>
  </r>
  <r>
    <s v="Ryan Yarbrough"/>
    <x v="28"/>
    <x v="1"/>
    <n v="6"/>
    <n v="10"/>
    <x v="447"/>
  </r>
  <r>
    <s v="Sal Romano"/>
    <x v="12"/>
    <x v="1"/>
    <n v="3"/>
    <n v="6"/>
    <x v="447"/>
  </r>
  <r>
    <s v="Tayron Guerrero"/>
    <x v="27"/>
    <x v="1"/>
    <n v="4"/>
    <n v="8"/>
    <x v="447"/>
  </r>
  <r>
    <s v="Thomas Pannone"/>
    <x v="14"/>
    <x v="1"/>
    <n v="2"/>
    <n v="4"/>
    <x v="447"/>
  </r>
  <r>
    <s v="Tim Hill"/>
    <x v="24"/>
    <x v="1"/>
    <n v="8"/>
    <n v="11"/>
    <x v="447"/>
  </r>
  <r>
    <s v="Tomas Telis"/>
    <x v="27"/>
    <x v="5"/>
    <n v="5"/>
    <n v="10"/>
    <x v="447"/>
  </r>
  <r>
    <s v="Tyler Kinley"/>
    <x v="13"/>
    <x v="1"/>
    <n v="4"/>
    <n v="8"/>
    <x v="447"/>
  </r>
  <r>
    <s v="Tyler Mahle"/>
    <x v="12"/>
    <x v="1"/>
    <n v="5"/>
    <n v="9"/>
    <x v="447"/>
  </r>
  <r>
    <s v="Victor Reyes"/>
    <x v="3"/>
    <x v="0"/>
    <n v="8"/>
    <n v="12"/>
    <x v="447"/>
  </r>
  <r>
    <s v="Yairo Munoz"/>
    <x v="19"/>
    <x v="6"/>
    <n v="8"/>
    <n v="11"/>
    <x v="447"/>
  </r>
  <r>
    <s v="Yonny Chirinos"/>
    <x v="28"/>
    <x v="1"/>
    <n v="8"/>
    <n v="12"/>
    <x v="447"/>
  </r>
  <r>
    <s v="Zack Weiss"/>
    <x v="12"/>
    <x v="1"/>
    <n v="7"/>
    <n v="11"/>
    <x v="4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E414C-D0F2-48BC-A196-1D0081B18C8D}" name="PivotTable1" cacheId="8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5" firstHeaderRow="1" firstDataRow="1" firstDataCol="1"/>
  <pivotFields count="6">
    <pivotField compact="0" outline="0" showAll="0"/>
    <pivotField axis="axisRow" compact="0" outline="0" showAll="0">
      <items count="32">
        <item x="2"/>
        <item x="21"/>
        <item x="23"/>
        <item x="4"/>
        <item x="8"/>
        <item x="22"/>
        <item x="12"/>
        <item x="26"/>
        <item x="18"/>
        <item x="3"/>
        <item x="7"/>
        <item x="24"/>
        <item x="9"/>
        <item x="1"/>
        <item x="0"/>
        <item x="27"/>
        <item x="25"/>
        <item x="13"/>
        <item x="6"/>
        <item x="11"/>
        <item x="30"/>
        <item x="5"/>
        <item x="29"/>
        <item x="20"/>
        <item x="15"/>
        <item x="10"/>
        <item x="19"/>
        <item x="28"/>
        <item x="16"/>
        <item x="14"/>
        <item x="17"/>
        <item t="default"/>
      </items>
    </pivotField>
    <pivotField compact="0" outline="0" showAll="0">
      <items count="9">
        <item x="5"/>
        <item x="7"/>
        <item x="2"/>
        <item x="0"/>
        <item x="1"/>
        <item x="3"/>
        <item x="6"/>
        <item x="4"/>
        <item t="default"/>
      </items>
    </pivotField>
    <pivotField compact="0" outline="0" showAll="0"/>
    <pivotField compact="0" outline="0" showAll="0"/>
    <pivotField dataField="1" compact="0" numFmtId="164" outline="0" showAll="0">
      <items count="449"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6"/>
        <item x="7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Salary" fld="5" subtotal="average" baseField="0" baseItem="0" numFmtId="164"/>
  </dataFields>
  <formats count="4">
    <format dxfId="4">
      <pivotArea dataOnly="0" labelOnly="1" outline="0" fieldPosition="0">
        <references count="1">
          <reference field="1" count="1">
            <x v="14"/>
          </reference>
        </references>
      </pivotArea>
    </format>
    <format dxfId="5">
      <pivotArea outline="0" fieldPosition="0">
        <references count="1">
          <reference field="1" count="1" selected="0">
            <x v="14"/>
          </reference>
        </references>
      </pivotArea>
    </format>
    <format dxfId="6">
      <pivotArea dataOnly="0" labelOnly="1" outline="0" fieldPosition="0">
        <references count="1">
          <reference field="1" count="1">
            <x v="14"/>
          </reference>
        </references>
      </pivotArea>
    </format>
    <format dxfId="7">
      <pivotArea outline="0" fieldPosition="0">
        <references count="1">
          <reference field="1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6690C-6889-4BBA-9D5B-E50A3FB154BB}" name="PivotTable2" cacheId="8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6">
    <pivotField compact="0" outline="0" showAll="0"/>
    <pivotField compact="0" outline="0" showAll="0"/>
    <pivotField axis="axisRow" compact="0" outline="0" showAll="0">
      <items count="9">
        <item x="5"/>
        <item x="7"/>
        <item x="2"/>
        <item x="0"/>
        <item x="1"/>
        <item x="3"/>
        <item x="6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5" subtotal="average" baseField="0" baseItem="0" numFmtId="164"/>
  </dataFields>
  <formats count="4">
    <format dxfId="0">
      <pivotArea dataOnly="0" labelOnly="1" outline="0" fieldPosition="0">
        <references count="1">
          <reference field="2" count="1">
            <x v="1"/>
          </reference>
        </references>
      </pivotArea>
    </format>
    <format dxfId="1">
      <pivotArea outline="0" fieldPosition="0">
        <references count="1">
          <reference field="2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2" count="1">
            <x v="1"/>
          </reference>
        </references>
      </pivotArea>
    </format>
    <format dxfId="3">
      <pivotArea outline="0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C5D993-0F77-4FA2-A888-45F9039936C9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6061BDF7-796E-40DE-9663-B5783994AFAD}"/>
    <we:binding id="InputX" type="matrix" appref="{7E7F1792-943E-4325-8963-1D4EAD185DE9}"/>
    <we:binding id="InputY" type="matrix" appref="{E72C896F-741A-4E71-A802-6D5F730D69F9}"/>
    <we:binding id="Output" type="matrix" appref="{B1A89C1C-F657-46F7-9280-1ED27DA0FDC0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35DB-4146-4985-AFBC-25737223CB36}">
  <sheetPr>
    <pageSetUpPr fitToPage="1"/>
  </sheetPr>
  <dimension ref="A3:F35"/>
  <sheetViews>
    <sheetView workbookViewId="0">
      <selection activeCell="B18" sqref="B18"/>
    </sheetView>
  </sheetViews>
  <sheetFormatPr defaultRowHeight="15"/>
  <cols>
    <col min="1" max="1" width="20.7109375" bestFit="1" customWidth="1"/>
    <col min="2" max="2" width="16.42578125" bestFit="1" customWidth="1"/>
    <col min="3" max="3" width="9" bestFit="1" customWidth="1"/>
    <col min="4" max="4" width="24.28515625" bestFit="1" customWidth="1"/>
    <col min="5" max="5" width="10.7109375" bestFit="1" customWidth="1"/>
    <col min="6" max="6" width="14.42578125" bestFit="1" customWidth="1"/>
    <col min="7" max="7" width="10.7109375" bestFit="1" customWidth="1"/>
    <col min="8" max="8" width="9" bestFit="1" customWidth="1"/>
    <col min="9" max="9" width="10.7109375" bestFit="1" customWidth="1"/>
    <col min="10" max="11" width="9" bestFit="1" customWidth="1"/>
    <col min="12" max="12" width="10.7109375" bestFit="1" customWidth="1"/>
    <col min="13" max="14" width="9" bestFit="1" customWidth="1"/>
    <col min="15" max="16" width="10.7109375" bestFit="1" customWidth="1"/>
    <col min="17" max="18" width="9" bestFit="1" customWidth="1"/>
    <col min="19" max="19" width="10.7109375" bestFit="1" customWidth="1"/>
    <col min="20" max="22" width="9" bestFit="1" customWidth="1"/>
    <col min="23" max="23" width="10.7109375" bestFit="1" customWidth="1"/>
    <col min="24" max="24" width="9" bestFit="1" customWidth="1"/>
    <col min="25" max="26" width="10.7109375" bestFit="1" customWidth="1"/>
    <col min="27" max="28" width="9" bestFit="1" customWidth="1"/>
    <col min="29" max="29" width="10.7109375" bestFit="1" customWidth="1"/>
    <col min="30" max="33" width="9" bestFit="1" customWidth="1"/>
    <col min="34" max="35" width="10.7109375" bestFit="1" customWidth="1"/>
    <col min="36" max="40" width="9" bestFit="1" customWidth="1"/>
    <col min="41" max="41" width="10.7109375" bestFit="1" customWidth="1"/>
    <col min="42" max="42" width="9" bestFit="1" customWidth="1"/>
    <col min="43" max="43" width="10.7109375" bestFit="1" customWidth="1"/>
    <col min="44" max="47" width="9" bestFit="1" customWidth="1"/>
    <col min="48" max="48" width="10.7109375" bestFit="1" customWidth="1"/>
    <col min="49" max="50" width="9" bestFit="1" customWidth="1"/>
    <col min="51" max="51" width="10.7109375" bestFit="1" customWidth="1"/>
    <col min="52" max="53" width="9" bestFit="1" customWidth="1"/>
    <col min="54" max="54" width="10.7109375" bestFit="1" customWidth="1"/>
    <col min="55" max="60" width="9" bestFit="1" customWidth="1"/>
    <col min="61" max="62" width="10.7109375" bestFit="1" customWidth="1"/>
    <col min="63" max="67" width="9" bestFit="1" customWidth="1"/>
    <col min="68" max="68" width="11.7109375" bestFit="1" customWidth="1"/>
    <col min="69" max="76" width="9" bestFit="1" customWidth="1"/>
    <col min="77" max="77" width="10.7109375" bestFit="1" customWidth="1"/>
    <col min="78" max="78" width="9" bestFit="1" customWidth="1"/>
    <col min="79" max="79" width="10.7109375" bestFit="1" customWidth="1"/>
    <col min="80" max="82" width="9" bestFit="1" customWidth="1"/>
    <col min="83" max="83" width="10.7109375" bestFit="1" customWidth="1"/>
    <col min="84" max="84" width="9" bestFit="1" customWidth="1"/>
    <col min="85" max="85" width="10.7109375" bestFit="1" customWidth="1"/>
    <col min="86" max="88" width="9" bestFit="1" customWidth="1"/>
    <col min="89" max="89" width="10.7109375" bestFit="1" customWidth="1"/>
    <col min="90" max="92" width="9" bestFit="1" customWidth="1"/>
    <col min="93" max="94" width="10.7109375" bestFit="1" customWidth="1"/>
    <col min="95" max="95" width="9" bestFit="1" customWidth="1"/>
    <col min="96" max="96" width="10.7109375" bestFit="1" customWidth="1"/>
    <col min="97" max="99" width="9" bestFit="1" customWidth="1"/>
    <col min="100" max="100" width="10.7109375" bestFit="1" customWidth="1"/>
    <col min="101" max="102" width="9" bestFit="1" customWidth="1"/>
    <col min="103" max="103" width="10.7109375" bestFit="1" customWidth="1"/>
    <col min="104" max="112" width="9" bestFit="1" customWidth="1"/>
    <col min="113" max="113" width="10.7109375" bestFit="1" customWidth="1"/>
    <col min="114" max="123" width="9" bestFit="1" customWidth="1"/>
    <col min="124" max="124" width="10.7109375" bestFit="1" customWidth="1"/>
    <col min="125" max="125" width="9" bestFit="1" customWidth="1"/>
    <col min="126" max="126" width="10.7109375" bestFit="1" customWidth="1"/>
    <col min="127" max="127" width="9" bestFit="1" customWidth="1"/>
    <col min="128" max="128" width="10.7109375" bestFit="1" customWidth="1"/>
    <col min="129" max="129" width="9" bestFit="1" customWidth="1"/>
    <col min="130" max="131" width="10.7109375" bestFit="1" customWidth="1"/>
    <col min="132" max="135" width="9" bestFit="1" customWidth="1"/>
    <col min="136" max="136" width="10.7109375" bestFit="1" customWidth="1"/>
    <col min="137" max="138" width="9" bestFit="1" customWidth="1"/>
    <col min="139" max="139" width="10.7109375" bestFit="1" customWidth="1"/>
    <col min="140" max="145" width="9" bestFit="1" customWidth="1"/>
    <col min="146" max="146" width="10.7109375" bestFit="1" customWidth="1"/>
    <col min="147" max="152" width="9" bestFit="1" customWidth="1"/>
    <col min="153" max="153" width="10.7109375" bestFit="1" customWidth="1"/>
    <col min="154" max="157" width="9" bestFit="1" customWidth="1"/>
    <col min="158" max="160" width="10.7109375" bestFit="1" customWidth="1"/>
    <col min="161" max="161" width="9" bestFit="1" customWidth="1"/>
    <col min="162" max="162" width="10.7109375" bestFit="1" customWidth="1"/>
    <col min="163" max="163" width="9" bestFit="1" customWidth="1"/>
    <col min="164" max="164" width="10.7109375" bestFit="1" customWidth="1"/>
    <col min="165" max="173" width="9" bestFit="1" customWidth="1"/>
    <col min="174" max="174" width="10.7109375" bestFit="1" customWidth="1"/>
    <col min="175" max="177" width="9" bestFit="1" customWidth="1"/>
    <col min="178" max="178" width="10.7109375" bestFit="1" customWidth="1"/>
    <col min="179" max="180" width="9" bestFit="1" customWidth="1"/>
    <col min="181" max="181" width="10.7109375" bestFit="1" customWidth="1"/>
    <col min="182" max="183" width="9" bestFit="1" customWidth="1"/>
    <col min="184" max="184" width="10.7109375" bestFit="1" customWidth="1"/>
    <col min="185" max="190" width="9" bestFit="1" customWidth="1"/>
    <col min="191" max="191" width="10.7109375" bestFit="1" customWidth="1"/>
    <col min="192" max="192" width="11.7109375" bestFit="1" customWidth="1"/>
    <col min="193" max="211" width="10.7109375" bestFit="1" customWidth="1"/>
    <col min="212" max="212" width="11.7109375" bestFit="1" customWidth="1"/>
    <col min="213" max="227" width="10.7109375" bestFit="1" customWidth="1"/>
    <col min="228" max="228" width="11.7109375" bestFit="1" customWidth="1"/>
    <col min="229" max="242" width="10.7109375" bestFit="1" customWidth="1"/>
    <col min="243" max="243" width="11.7109375" bestFit="1" customWidth="1"/>
    <col min="244" max="258" width="10.7109375" bestFit="1" customWidth="1"/>
    <col min="259" max="259" width="11.7109375" bestFit="1" customWidth="1"/>
    <col min="260" max="263" width="10.7109375" bestFit="1" customWidth="1"/>
    <col min="264" max="264" width="11.7109375" bestFit="1" customWidth="1"/>
    <col min="265" max="269" width="10.7109375" bestFit="1" customWidth="1"/>
    <col min="270" max="270" width="11.7109375" bestFit="1" customWidth="1"/>
    <col min="271" max="272" width="10.7109375" bestFit="1" customWidth="1"/>
    <col min="273" max="273" width="11.7109375" bestFit="1" customWidth="1"/>
    <col min="274" max="281" width="10.7109375" bestFit="1" customWidth="1"/>
    <col min="282" max="282" width="11.7109375" bestFit="1" customWidth="1"/>
    <col min="283" max="284" width="10.7109375" bestFit="1" customWidth="1"/>
    <col min="285" max="285" width="11.7109375" bestFit="1" customWidth="1"/>
    <col min="286" max="291" width="10.7109375" bestFit="1" customWidth="1"/>
    <col min="292" max="292" width="11.7109375" bestFit="1" customWidth="1"/>
    <col min="293" max="299" width="10.7109375" bestFit="1" customWidth="1"/>
    <col min="300" max="301" width="11.7109375" bestFit="1" customWidth="1"/>
    <col min="302" max="304" width="10.7109375" bestFit="1" customWidth="1"/>
    <col min="305" max="305" width="11.7109375" bestFit="1" customWidth="1"/>
    <col min="306" max="306" width="10.7109375" bestFit="1" customWidth="1"/>
    <col min="307" max="307" width="11.7109375" bestFit="1" customWidth="1"/>
    <col min="308" max="316" width="10.7109375" bestFit="1" customWidth="1"/>
    <col min="317" max="317" width="11.7109375" bestFit="1" customWidth="1"/>
    <col min="318" max="323" width="10.7109375" bestFit="1" customWidth="1"/>
    <col min="324" max="324" width="11.7109375" bestFit="1" customWidth="1"/>
    <col min="325" max="327" width="10.7109375" bestFit="1" customWidth="1"/>
    <col min="328" max="328" width="11.7109375" bestFit="1" customWidth="1"/>
    <col min="329" max="329" width="10.7109375" bestFit="1" customWidth="1"/>
    <col min="330" max="331" width="11.7109375" bestFit="1" customWidth="1"/>
    <col min="332" max="332" width="10.7109375" bestFit="1" customWidth="1"/>
    <col min="333" max="333" width="11.7109375" bestFit="1" customWidth="1"/>
    <col min="334" max="338" width="10.7109375" bestFit="1" customWidth="1"/>
    <col min="339" max="339" width="11.7109375" bestFit="1" customWidth="1"/>
    <col min="340" max="341" width="10.7109375" bestFit="1" customWidth="1"/>
    <col min="342" max="342" width="11.7109375" bestFit="1" customWidth="1"/>
    <col min="343" max="346" width="10.7109375" bestFit="1" customWidth="1"/>
    <col min="347" max="347" width="11.7109375" bestFit="1" customWidth="1"/>
    <col min="348" max="348" width="10.7109375" bestFit="1" customWidth="1"/>
    <col min="349" max="350" width="11.7109375" bestFit="1" customWidth="1"/>
    <col min="351" max="351" width="10.7109375" bestFit="1" customWidth="1"/>
    <col min="352" max="352" width="11.7109375" bestFit="1" customWidth="1"/>
    <col min="353" max="353" width="10.7109375" bestFit="1" customWidth="1"/>
    <col min="354" max="354" width="11.7109375" bestFit="1" customWidth="1"/>
    <col min="355" max="357" width="10.7109375" bestFit="1" customWidth="1"/>
    <col min="358" max="358" width="11.7109375" bestFit="1" customWidth="1"/>
    <col min="359" max="365" width="10.7109375" bestFit="1" customWidth="1"/>
    <col min="366" max="375" width="11.7109375" bestFit="1" customWidth="1"/>
    <col min="376" max="376" width="12.85546875" bestFit="1" customWidth="1"/>
    <col min="377" max="449" width="11.7109375" bestFit="1" customWidth="1"/>
    <col min="450" max="450" width="14.42578125" bestFit="1" customWidth="1"/>
    <col min="451" max="451" width="15.7109375" bestFit="1" customWidth="1"/>
    <col min="452" max="452" width="17" bestFit="1" customWidth="1"/>
    <col min="453" max="453" width="14" bestFit="1" customWidth="1"/>
    <col min="454" max="454" width="12.5703125" bestFit="1" customWidth="1"/>
    <col min="455" max="455" width="14" bestFit="1" customWidth="1"/>
    <col min="456" max="456" width="14.42578125" bestFit="1" customWidth="1"/>
    <col min="457" max="457" width="14" bestFit="1" customWidth="1"/>
    <col min="458" max="458" width="15.28515625" bestFit="1" customWidth="1"/>
    <col min="459" max="459" width="14" bestFit="1" customWidth="1"/>
    <col min="460" max="460" width="13.85546875" bestFit="1" customWidth="1"/>
    <col min="461" max="461" width="15.7109375" bestFit="1" customWidth="1"/>
    <col min="462" max="462" width="14" bestFit="1" customWidth="1"/>
    <col min="463" max="463" width="16.5703125" bestFit="1" customWidth="1"/>
    <col min="464" max="464" width="14" bestFit="1" customWidth="1"/>
    <col min="465" max="465" width="15.7109375" bestFit="1" customWidth="1"/>
    <col min="466" max="466" width="14" bestFit="1" customWidth="1"/>
    <col min="467" max="467" width="13.85546875" bestFit="1" customWidth="1"/>
    <col min="468" max="468" width="17.7109375" bestFit="1" customWidth="1"/>
    <col min="469" max="469" width="14" bestFit="1" customWidth="1"/>
    <col min="470" max="470" width="17.28515625" bestFit="1" customWidth="1"/>
    <col min="471" max="471" width="14" bestFit="1" customWidth="1"/>
    <col min="472" max="472" width="13.85546875" bestFit="1" customWidth="1"/>
    <col min="473" max="473" width="14" bestFit="1" customWidth="1"/>
    <col min="474" max="474" width="21.28515625" bestFit="1" customWidth="1"/>
    <col min="475" max="475" width="14.7109375" bestFit="1" customWidth="1"/>
    <col min="476" max="476" width="18.5703125" bestFit="1" customWidth="1"/>
    <col min="477" max="477" width="14" bestFit="1" customWidth="1"/>
    <col min="478" max="478" width="14.42578125" bestFit="1" customWidth="1"/>
    <col min="479" max="479" width="14" bestFit="1" customWidth="1"/>
    <col min="480" max="480" width="13.5703125" bestFit="1" customWidth="1"/>
    <col min="481" max="481" width="14" bestFit="1" customWidth="1"/>
    <col min="482" max="482" width="16.42578125" bestFit="1" customWidth="1"/>
    <col min="483" max="483" width="14" bestFit="1" customWidth="1"/>
    <col min="484" max="484" width="16.5703125" bestFit="1" customWidth="1"/>
    <col min="485" max="485" width="14" bestFit="1" customWidth="1"/>
    <col min="486" max="486" width="15.28515625" bestFit="1" customWidth="1"/>
    <col min="487" max="487" width="14" bestFit="1" customWidth="1"/>
    <col min="488" max="488" width="15.28515625" bestFit="1" customWidth="1"/>
    <col min="489" max="489" width="14" bestFit="1" customWidth="1"/>
    <col min="490" max="490" width="12.5703125" bestFit="1" customWidth="1"/>
    <col min="491" max="491" width="16.140625" bestFit="1" customWidth="1"/>
    <col min="492" max="492" width="14" bestFit="1" customWidth="1"/>
    <col min="493" max="493" width="13.85546875" bestFit="1" customWidth="1"/>
    <col min="494" max="494" width="16.42578125" bestFit="1" customWidth="1"/>
    <col min="495" max="495" width="17.28515625" bestFit="1" customWidth="1"/>
    <col min="496" max="496" width="14.5703125" bestFit="1" customWidth="1"/>
    <col min="497" max="497" width="17.140625" bestFit="1" customWidth="1"/>
    <col min="498" max="498" width="19.140625" bestFit="1" customWidth="1"/>
    <col min="499" max="499" width="13.85546875" bestFit="1" customWidth="1"/>
    <col min="500" max="501" width="16.140625" bestFit="1" customWidth="1"/>
    <col min="502" max="502" width="19" bestFit="1" customWidth="1"/>
    <col min="503" max="503" width="13.5703125" bestFit="1" customWidth="1"/>
    <col min="504" max="504" width="20.5703125" bestFit="1" customWidth="1"/>
    <col min="505" max="505" width="15.7109375" bestFit="1" customWidth="1"/>
    <col min="506" max="506" width="17.28515625" bestFit="1" customWidth="1"/>
    <col min="507" max="507" width="17.7109375" bestFit="1" customWidth="1"/>
    <col min="508" max="508" width="15.7109375" bestFit="1" customWidth="1"/>
    <col min="509" max="509" width="13.5703125" bestFit="1" customWidth="1"/>
    <col min="510" max="510" width="15.7109375" bestFit="1" customWidth="1"/>
    <col min="511" max="511" width="16.140625" bestFit="1" customWidth="1"/>
    <col min="512" max="512" width="15.7109375" bestFit="1" customWidth="1"/>
    <col min="513" max="513" width="13.85546875" bestFit="1" customWidth="1"/>
    <col min="514" max="514" width="15.7109375" bestFit="1" customWidth="1"/>
    <col min="515" max="515" width="13.85546875" bestFit="1" customWidth="1"/>
    <col min="516" max="516" width="15.7109375" bestFit="1" customWidth="1"/>
    <col min="517" max="517" width="13.85546875" bestFit="1" customWidth="1"/>
    <col min="518" max="518" width="14.7109375" bestFit="1" customWidth="1"/>
    <col min="519" max="519" width="17.7109375" bestFit="1" customWidth="1"/>
    <col min="520" max="520" width="17.28515625" bestFit="1" customWidth="1"/>
    <col min="521" max="521" width="15.7109375" bestFit="1" customWidth="1"/>
    <col min="522" max="522" width="13.85546875" bestFit="1" customWidth="1"/>
    <col min="523" max="523" width="15.7109375" bestFit="1" customWidth="1"/>
    <col min="524" max="524" width="16.5703125" bestFit="1" customWidth="1"/>
    <col min="525" max="525" width="15.7109375" bestFit="1" customWidth="1"/>
    <col min="526" max="526" width="18.7109375" bestFit="1" customWidth="1"/>
    <col min="527" max="527" width="15.7109375" bestFit="1" customWidth="1"/>
    <col min="528" max="528" width="17.28515625" bestFit="1" customWidth="1"/>
    <col min="529" max="529" width="15.7109375" bestFit="1" customWidth="1"/>
    <col min="530" max="530" width="13.85546875" bestFit="1" customWidth="1"/>
    <col min="531" max="531" width="15.7109375" bestFit="1" customWidth="1"/>
    <col min="532" max="532" width="21.28515625" bestFit="1" customWidth="1"/>
    <col min="533" max="533" width="15.7109375" bestFit="1" customWidth="1"/>
    <col min="534" max="534" width="16.42578125" bestFit="1" customWidth="1"/>
    <col min="535" max="535" width="18.7109375" bestFit="1" customWidth="1"/>
    <col min="536" max="536" width="17" bestFit="1" customWidth="1"/>
    <col min="537" max="537" width="13.5703125" bestFit="1" customWidth="1"/>
    <col min="538" max="538" width="15.7109375" bestFit="1" customWidth="1"/>
    <col min="539" max="539" width="16.42578125" bestFit="1" customWidth="1"/>
    <col min="540" max="540" width="14.42578125" bestFit="1" customWidth="1"/>
    <col min="541" max="541" width="17.140625" bestFit="1" customWidth="1"/>
    <col min="542" max="542" width="16.140625" bestFit="1" customWidth="1"/>
    <col min="543" max="543" width="13.5703125" bestFit="1" customWidth="1"/>
    <col min="544" max="544" width="15.7109375" bestFit="1" customWidth="1"/>
    <col min="545" max="545" width="21.28515625" bestFit="1" customWidth="1"/>
    <col min="546" max="546" width="15.7109375" bestFit="1" customWidth="1"/>
    <col min="547" max="547" width="16.140625" bestFit="1" customWidth="1"/>
    <col min="548" max="548" width="15.7109375" bestFit="1" customWidth="1"/>
    <col min="549" max="549" width="20.5703125" bestFit="1" customWidth="1"/>
    <col min="550" max="550" width="15.7109375" bestFit="1" customWidth="1"/>
    <col min="551" max="551" width="14.42578125" bestFit="1" customWidth="1"/>
    <col min="552" max="552" width="17.28515625" bestFit="1" customWidth="1"/>
    <col min="553" max="553" width="15.7109375" bestFit="1" customWidth="1"/>
    <col min="554" max="554" width="17.140625" bestFit="1" customWidth="1"/>
    <col min="555" max="555" width="15.7109375" bestFit="1" customWidth="1"/>
    <col min="556" max="556" width="14.7109375" bestFit="1" customWidth="1"/>
    <col min="557" max="557" width="17.7109375" bestFit="1" customWidth="1"/>
    <col min="558" max="558" width="16.5703125" bestFit="1" customWidth="1"/>
    <col min="559" max="559" width="15.7109375" bestFit="1" customWidth="1"/>
    <col min="560" max="560" width="21.28515625" bestFit="1" customWidth="1"/>
    <col min="561" max="561" width="14.42578125" bestFit="1" customWidth="1"/>
    <col min="562" max="562" width="16.5703125" bestFit="1" customWidth="1"/>
    <col min="563" max="563" width="19.140625" bestFit="1" customWidth="1"/>
    <col min="564" max="564" width="16.5703125" bestFit="1" customWidth="1"/>
    <col min="565" max="565" width="19" bestFit="1" customWidth="1"/>
    <col min="566" max="566" width="17" bestFit="1" customWidth="1"/>
    <col min="567" max="567" width="16.5703125" bestFit="1" customWidth="1"/>
    <col min="568" max="568" width="15.7109375" bestFit="1" customWidth="1"/>
    <col min="569" max="569" width="19" bestFit="1" customWidth="1"/>
    <col min="570" max="570" width="15.7109375" bestFit="1" customWidth="1"/>
    <col min="571" max="571" width="21.28515625" bestFit="1" customWidth="1"/>
    <col min="572" max="572" width="19.140625" bestFit="1" customWidth="1"/>
    <col min="573" max="573" width="16.140625" bestFit="1" customWidth="1"/>
    <col min="574" max="574" width="15.7109375" bestFit="1" customWidth="1"/>
    <col min="575" max="575" width="16.5703125" bestFit="1" customWidth="1"/>
    <col min="576" max="576" width="15.7109375" bestFit="1" customWidth="1"/>
    <col min="577" max="577" width="16.42578125" bestFit="1" customWidth="1"/>
    <col min="578" max="578" width="15.7109375" bestFit="1" customWidth="1"/>
    <col min="579" max="579" width="19" bestFit="1" customWidth="1"/>
    <col min="580" max="580" width="15.7109375" bestFit="1" customWidth="1"/>
    <col min="581" max="581" width="16.140625" bestFit="1" customWidth="1"/>
    <col min="582" max="582" width="15.7109375" bestFit="1" customWidth="1"/>
    <col min="583" max="583" width="16.5703125" bestFit="1" customWidth="1"/>
    <col min="584" max="584" width="13" bestFit="1" customWidth="1"/>
    <col min="585" max="585" width="18.5703125" bestFit="1" customWidth="1"/>
    <col min="586" max="586" width="13.5703125" bestFit="1" customWidth="1"/>
    <col min="587" max="587" width="15.7109375" bestFit="1" customWidth="1"/>
    <col min="588" max="588" width="17.7109375" bestFit="1" customWidth="1"/>
    <col min="589" max="589" width="15.7109375" bestFit="1" customWidth="1"/>
    <col min="590" max="590" width="16.5703125" bestFit="1" customWidth="1"/>
    <col min="591" max="591" width="15.7109375" bestFit="1" customWidth="1"/>
    <col min="592" max="592" width="21.28515625" bestFit="1" customWidth="1"/>
    <col min="593" max="593" width="15.7109375" bestFit="1" customWidth="1"/>
    <col min="594" max="594" width="17.7109375" bestFit="1" customWidth="1"/>
    <col min="595" max="595" width="15.7109375" bestFit="1" customWidth="1"/>
    <col min="596" max="596" width="14.5703125" bestFit="1" customWidth="1"/>
    <col min="597" max="597" width="17.7109375" bestFit="1" customWidth="1"/>
    <col min="598" max="598" width="16.5703125" bestFit="1" customWidth="1"/>
    <col min="599" max="599" width="16.140625" bestFit="1" customWidth="1"/>
    <col min="600" max="600" width="15.7109375" bestFit="1" customWidth="1"/>
    <col min="601" max="601" width="13" bestFit="1" customWidth="1"/>
    <col min="602" max="602" width="15.7109375" bestFit="1" customWidth="1"/>
    <col min="603" max="603" width="14.7109375" bestFit="1" customWidth="1"/>
    <col min="604" max="604" width="13" bestFit="1" customWidth="1"/>
    <col min="605" max="605" width="15.7109375" bestFit="1" customWidth="1"/>
    <col min="606" max="606" width="18.5703125" bestFit="1" customWidth="1"/>
    <col min="607" max="607" width="15.7109375" bestFit="1" customWidth="1"/>
    <col min="608" max="608" width="21.28515625" bestFit="1" customWidth="1"/>
    <col min="609" max="609" width="17.28515625" bestFit="1" customWidth="1"/>
    <col min="610" max="610" width="16.140625" bestFit="1" customWidth="1"/>
    <col min="611" max="611" width="17.7109375" bestFit="1" customWidth="1"/>
    <col min="612" max="612" width="19.140625" bestFit="1" customWidth="1"/>
    <col min="613" max="613" width="13.85546875" bestFit="1" customWidth="1"/>
    <col min="614" max="614" width="16.140625" bestFit="1" customWidth="1"/>
    <col min="615" max="615" width="14.5703125" bestFit="1" customWidth="1"/>
    <col min="616" max="616" width="15.28515625" bestFit="1" customWidth="1"/>
    <col min="617" max="617" width="16.5703125" bestFit="1" customWidth="1"/>
    <col min="618" max="618" width="15.7109375" bestFit="1" customWidth="1"/>
    <col min="619" max="619" width="14.7109375" bestFit="1" customWidth="1"/>
    <col min="620" max="620" width="15.7109375" bestFit="1" customWidth="1"/>
    <col min="621" max="621" width="14.42578125" bestFit="1" customWidth="1"/>
    <col min="622" max="622" width="15.7109375" bestFit="1" customWidth="1"/>
    <col min="623" max="623" width="16.140625" bestFit="1" customWidth="1"/>
    <col min="624" max="624" width="16.5703125" bestFit="1" customWidth="1"/>
    <col min="625" max="625" width="15.7109375" bestFit="1" customWidth="1"/>
    <col min="626" max="626" width="17" bestFit="1" customWidth="1"/>
    <col min="627" max="627" width="15.7109375" bestFit="1" customWidth="1"/>
    <col min="628" max="628" width="13.85546875" bestFit="1" customWidth="1"/>
    <col min="629" max="629" width="19.140625" bestFit="1" customWidth="1"/>
    <col min="630" max="630" width="15.7109375" bestFit="1" customWidth="1"/>
    <col min="631" max="631" width="14.7109375" bestFit="1" customWidth="1"/>
    <col min="632" max="632" width="15.7109375" bestFit="1" customWidth="1"/>
    <col min="633" max="633" width="21.28515625" bestFit="1" customWidth="1"/>
    <col min="634" max="634" width="16.140625" bestFit="1" customWidth="1"/>
    <col min="635" max="635" width="13.5703125" bestFit="1" customWidth="1"/>
    <col min="636" max="636" width="15.7109375" bestFit="1" customWidth="1"/>
    <col min="637" max="637" width="17.28515625" bestFit="1" customWidth="1"/>
    <col min="638" max="638" width="17.140625" bestFit="1" customWidth="1"/>
    <col min="639" max="639" width="19.140625" bestFit="1" customWidth="1"/>
    <col min="640" max="640" width="15.28515625" bestFit="1" customWidth="1"/>
    <col min="641" max="641" width="15.7109375" bestFit="1" customWidth="1"/>
    <col min="642" max="642" width="17.28515625" bestFit="1" customWidth="1"/>
    <col min="643" max="643" width="15.7109375" bestFit="1" customWidth="1"/>
    <col min="644" max="644" width="16.5703125" bestFit="1" customWidth="1"/>
    <col min="645" max="645" width="15.7109375" bestFit="1" customWidth="1"/>
    <col min="646" max="646" width="14.7109375" bestFit="1" customWidth="1"/>
    <col min="647" max="647" width="13" bestFit="1" customWidth="1"/>
    <col min="648" max="648" width="15.7109375" bestFit="1" customWidth="1"/>
    <col min="649" max="649" width="18.5703125" bestFit="1" customWidth="1"/>
    <col min="650" max="650" width="15.7109375" bestFit="1" customWidth="1"/>
    <col min="651" max="651" width="14.5703125" bestFit="1" customWidth="1"/>
    <col min="652" max="652" width="15.7109375" bestFit="1" customWidth="1"/>
    <col min="653" max="653" width="17.28515625" bestFit="1" customWidth="1"/>
    <col min="654" max="654" width="16.5703125" bestFit="1" customWidth="1"/>
    <col min="655" max="655" width="14.5703125" bestFit="1" customWidth="1"/>
    <col min="656" max="656" width="15.7109375" bestFit="1" customWidth="1"/>
    <col min="657" max="657" width="14.42578125" bestFit="1" customWidth="1"/>
    <col min="658" max="658" width="17.140625" bestFit="1" customWidth="1"/>
    <col min="659" max="659" width="18.5703125" bestFit="1" customWidth="1"/>
    <col min="660" max="660" width="19" bestFit="1" customWidth="1"/>
    <col min="661" max="661" width="15.28515625" bestFit="1" customWidth="1"/>
    <col min="662" max="662" width="15.7109375" bestFit="1" customWidth="1"/>
    <col min="663" max="663" width="20.5703125" bestFit="1" customWidth="1"/>
    <col min="664" max="664" width="15.7109375" bestFit="1" customWidth="1"/>
    <col min="665" max="665" width="18.5703125" bestFit="1" customWidth="1"/>
    <col min="666" max="666" width="15.7109375" bestFit="1" customWidth="1"/>
    <col min="667" max="667" width="19.140625" bestFit="1" customWidth="1"/>
    <col min="668" max="668" width="16.5703125" bestFit="1" customWidth="1"/>
    <col min="669" max="669" width="15.7109375" bestFit="1" customWidth="1"/>
    <col min="670" max="670" width="16.5703125" bestFit="1" customWidth="1"/>
    <col min="671" max="671" width="15.7109375" bestFit="1" customWidth="1"/>
    <col min="672" max="672" width="13.5703125" bestFit="1" customWidth="1"/>
    <col min="673" max="673" width="15.7109375" bestFit="1" customWidth="1"/>
    <col min="674" max="674" width="16.7109375" bestFit="1" customWidth="1"/>
    <col min="675" max="675" width="15.7109375" bestFit="1" customWidth="1"/>
    <col min="676" max="676" width="21.28515625" bestFit="1" customWidth="1"/>
    <col min="677" max="677" width="16.5703125" bestFit="1" customWidth="1"/>
    <col min="678" max="679" width="15.7109375" bestFit="1" customWidth="1"/>
    <col min="680" max="680" width="14.5703125" bestFit="1" customWidth="1"/>
    <col min="681" max="681" width="17.7109375" bestFit="1" customWidth="1"/>
    <col min="682" max="682" width="15.7109375" bestFit="1" customWidth="1"/>
    <col min="683" max="683" width="17.28515625" bestFit="1" customWidth="1"/>
    <col min="684" max="684" width="15.7109375" bestFit="1" customWidth="1"/>
    <col min="685" max="685" width="16.5703125" bestFit="1" customWidth="1"/>
    <col min="686" max="686" width="15.7109375" bestFit="1" customWidth="1"/>
    <col min="687" max="687" width="17.7109375" bestFit="1" customWidth="1"/>
    <col min="688" max="688" width="15.7109375" bestFit="1" customWidth="1"/>
    <col min="689" max="689" width="13.85546875" bestFit="1" customWidth="1"/>
    <col min="690" max="690" width="15.7109375" bestFit="1" customWidth="1"/>
    <col min="691" max="691" width="14.42578125" bestFit="1" customWidth="1"/>
    <col min="692" max="692" width="15.7109375" bestFit="1" customWidth="1"/>
    <col min="693" max="693" width="17.140625" bestFit="1" customWidth="1"/>
    <col min="694" max="694" width="18.7109375" bestFit="1" customWidth="1"/>
    <col min="695" max="695" width="15.7109375" bestFit="1" customWidth="1"/>
    <col min="696" max="696" width="14.5703125" bestFit="1" customWidth="1"/>
    <col min="697" max="698" width="15.7109375" bestFit="1" customWidth="1"/>
    <col min="699" max="699" width="16.42578125" bestFit="1" customWidth="1"/>
    <col min="700" max="700" width="12.5703125" bestFit="1" customWidth="1"/>
    <col min="701" max="701" width="16.5703125" bestFit="1" customWidth="1"/>
    <col min="702" max="702" width="17.140625" bestFit="1" customWidth="1"/>
    <col min="703" max="703" width="18.7109375" bestFit="1" customWidth="1"/>
    <col min="704" max="704" width="16.140625" bestFit="1" customWidth="1"/>
    <col min="705" max="705" width="19" bestFit="1" customWidth="1"/>
    <col min="706" max="706" width="17" bestFit="1" customWidth="1"/>
    <col min="707" max="707" width="20.5703125" bestFit="1" customWidth="1"/>
    <col min="708" max="708" width="15.7109375" bestFit="1" customWidth="1"/>
    <col min="709" max="709" width="16.7109375" bestFit="1" customWidth="1"/>
    <col min="710" max="710" width="15.7109375" bestFit="1" customWidth="1"/>
    <col min="711" max="711" width="18.5703125" bestFit="1" customWidth="1"/>
    <col min="712" max="712" width="15.7109375" bestFit="1" customWidth="1"/>
    <col min="713" max="713" width="19.140625" bestFit="1" customWidth="1"/>
    <col min="714" max="714" width="16.5703125" bestFit="1" customWidth="1"/>
    <col min="715" max="715" width="15.7109375" bestFit="1" customWidth="1"/>
    <col min="716" max="716" width="12.5703125" bestFit="1" customWidth="1"/>
    <col min="717" max="717" width="15.7109375" bestFit="1" customWidth="1"/>
    <col min="718" max="718" width="13.85546875" bestFit="1" customWidth="1"/>
    <col min="719" max="719" width="16.7109375" bestFit="1" customWidth="1"/>
    <col min="720" max="720" width="19" bestFit="1" customWidth="1"/>
    <col min="721" max="721" width="16.5703125" bestFit="1" customWidth="1"/>
    <col min="722" max="722" width="15.7109375" bestFit="1" customWidth="1"/>
    <col min="723" max="723" width="21.28515625" bestFit="1" customWidth="1"/>
    <col min="724" max="724" width="15.7109375" bestFit="1" customWidth="1"/>
    <col min="725" max="725" width="17.28515625" bestFit="1" customWidth="1"/>
    <col min="726" max="726" width="15.7109375" bestFit="1" customWidth="1"/>
    <col min="727" max="727" width="13.5703125" bestFit="1" customWidth="1"/>
    <col min="728" max="728" width="15.7109375" bestFit="1" customWidth="1"/>
    <col min="729" max="729" width="16.42578125" bestFit="1" customWidth="1"/>
    <col min="730" max="730" width="15.7109375" bestFit="1" customWidth="1"/>
    <col min="731" max="731" width="13.85546875" bestFit="1" customWidth="1"/>
    <col min="732" max="732" width="15.7109375" bestFit="1" customWidth="1"/>
    <col min="733" max="733" width="21.28515625" bestFit="1" customWidth="1"/>
    <col min="734" max="735" width="13.85546875" bestFit="1" customWidth="1"/>
    <col min="736" max="736" width="14.5703125" bestFit="1" customWidth="1"/>
    <col min="737" max="737" width="15.7109375" bestFit="1" customWidth="1"/>
    <col min="738" max="738" width="19" bestFit="1" customWidth="1"/>
    <col min="739" max="739" width="15.7109375" bestFit="1" customWidth="1"/>
    <col min="740" max="740" width="14.5703125" bestFit="1" customWidth="1"/>
    <col min="741" max="741" width="15.7109375" bestFit="1" customWidth="1"/>
    <col min="742" max="742" width="13.85546875" bestFit="1" customWidth="1"/>
    <col min="743" max="743" width="12.5703125" bestFit="1" customWidth="1"/>
    <col min="744" max="744" width="17.140625" bestFit="1" customWidth="1"/>
    <col min="745" max="745" width="15.7109375" bestFit="1" customWidth="1"/>
    <col min="746" max="746" width="21.28515625" bestFit="1" customWidth="1"/>
    <col min="747" max="747" width="18.7109375" bestFit="1" customWidth="1"/>
    <col min="748" max="748" width="15.7109375" bestFit="1" customWidth="1"/>
    <col min="749" max="749" width="18.5703125" bestFit="1" customWidth="1"/>
    <col min="750" max="750" width="15.7109375" bestFit="1" customWidth="1"/>
    <col min="751" max="751" width="18.5703125" bestFit="1" customWidth="1"/>
    <col min="752" max="752" width="15.7109375" bestFit="1" customWidth="1"/>
    <col min="753" max="753" width="21.28515625" bestFit="1" customWidth="1"/>
    <col min="754" max="754" width="15.7109375" bestFit="1" customWidth="1"/>
    <col min="755" max="755" width="14.7109375" bestFit="1" customWidth="1"/>
    <col min="756" max="756" width="15.7109375" bestFit="1" customWidth="1"/>
    <col min="757" max="757" width="17.7109375" bestFit="1" customWidth="1"/>
    <col min="758" max="758" width="15.7109375" bestFit="1" customWidth="1"/>
    <col min="759" max="759" width="21.28515625" bestFit="1" customWidth="1"/>
    <col min="760" max="760" width="17.28515625" bestFit="1" customWidth="1"/>
    <col min="761" max="761" width="15.7109375" bestFit="1" customWidth="1"/>
    <col min="762" max="762" width="16.140625" bestFit="1" customWidth="1"/>
    <col min="763" max="763" width="15.7109375" bestFit="1" customWidth="1"/>
    <col min="764" max="764" width="21.28515625" bestFit="1" customWidth="1"/>
    <col min="765" max="765" width="13.85546875" bestFit="1" customWidth="1"/>
    <col min="766" max="766" width="13" bestFit="1" customWidth="1"/>
    <col min="767" max="767" width="14.5703125" bestFit="1" customWidth="1"/>
    <col min="768" max="768" width="17.28515625" bestFit="1" customWidth="1"/>
    <col min="769" max="769" width="16.5703125" bestFit="1" customWidth="1"/>
    <col min="770" max="770" width="15.28515625" bestFit="1" customWidth="1"/>
    <col min="771" max="771" width="13.5703125" bestFit="1" customWidth="1"/>
    <col min="772" max="772" width="20.5703125" bestFit="1" customWidth="1"/>
    <col min="773" max="773" width="15.7109375" bestFit="1" customWidth="1"/>
    <col min="774" max="774" width="17.7109375" bestFit="1" customWidth="1"/>
    <col min="775" max="775" width="16.5703125" bestFit="1" customWidth="1"/>
    <col min="776" max="776" width="15.7109375" bestFit="1" customWidth="1"/>
    <col min="777" max="777" width="12.5703125" bestFit="1" customWidth="1"/>
    <col min="778" max="778" width="15.7109375" bestFit="1" customWidth="1"/>
    <col min="779" max="779" width="16.140625" bestFit="1" customWidth="1"/>
    <col min="780" max="780" width="15.7109375" bestFit="1" customWidth="1"/>
    <col min="781" max="781" width="17" bestFit="1" customWidth="1"/>
    <col min="782" max="782" width="15.7109375" bestFit="1" customWidth="1"/>
    <col min="783" max="783" width="12.5703125" bestFit="1" customWidth="1"/>
    <col min="784" max="784" width="16.5703125" bestFit="1" customWidth="1"/>
    <col min="785" max="785" width="15.7109375" bestFit="1" customWidth="1"/>
    <col min="786" max="786" width="21.28515625" bestFit="1" customWidth="1"/>
    <col min="787" max="787" width="15.7109375" bestFit="1" customWidth="1"/>
    <col min="788" max="788" width="16.140625" bestFit="1" customWidth="1"/>
    <col min="789" max="789" width="15.7109375" bestFit="1" customWidth="1"/>
    <col min="790" max="790" width="19" bestFit="1" customWidth="1"/>
    <col min="791" max="791" width="15.7109375" bestFit="1" customWidth="1"/>
    <col min="792" max="792" width="14.42578125" bestFit="1" customWidth="1"/>
    <col min="793" max="793" width="15.7109375" bestFit="1" customWidth="1"/>
    <col min="794" max="794" width="20.5703125" bestFit="1" customWidth="1"/>
    <col min="795" max="795" width="15.7109375" bestFit="1" customWidth="1"/>
    <col min="796" max="796" width="16.140625" bestFit="1" customWidth="1"/>
    <col min="797" max="797" width="16.7109375" bestFit="1" customWidth="1"/>
    <col min="798" max="798" width="15.28515625" bestFit="1" customWidth="1"/>
    <col min="799" max="799" width="15.7109375" bestFit="1" customWidth="1"/>
    <col min="800" max="800" width="14.42578125" bestFit="1" customWidth="1"/>
    <col min="801" max="801" width="14.5703125" bestFit="1" customWidth="1"/>
    <col min="802" max="802" width="15.7109375" bestFit="1" customWidth="1"/>
    <col min="803" max="803" width="17.140625" bestFit="1" customWidth="1"/>
    <col min="804" max="804" width="16.140625" bestFit="1" customWidth="1"/>
    <col min="805" max="805" width="15.7109375" bestFit="1" customWidth="1"/>
    <col min="806" max="806" width="13.85546875" bestFit="1" customWidth="1"/>
    <col min="807" max="807" width="16.7109375" bestFit="1" customWidth="1"/>
    <col min="808" max="808" width="15.7109375" bestFit="1" customWidth="1"/>
    <col min="809" max="809" width="17.28515625" bestFit="1" customWidth="1"/>
    <col min="810" max="810" width="15.7109375" bestFit="1" customWidth="1"/>
    <col min="811" max="811" width="21.28515625" bestFit="1" customWidth="1"/>
    <col min="812" max="812" width="15.7109375" bestFit="1" customWidth="1"/>
    <col min="813" max="813" width="16.140625" bestFit="1" customWidth="1"/>
    <col min="814" max="814" width="15.7109375" bestFit="1" customWidth="1"/>
    <col min="815" max="815" width="21.28515625" bestFit="1" customWidth="1"/>
    <col min="816" max="817" width="15.7109375" bestFit="1" customWidth="1"/>
    <col min="818" max="818" width="16.5703125" bestFit="1" customWidth="1"/>
    <col min="819" max="819" width="16.140625" bestFit="1" customWidth="1"/>
    <col min="820" max="820" width="14.5703125" bestFit="1" customWidth="1"/>
    <col min="821" max="821" width="17.7109375" bestFit="1" customWidth="1"/>
    <col min="822" max="822" width="18.5703125" bestFit="1" customWidth="1"/>
    <col min="823" max="823" width="16.5703125" bestFit="1" customWidth="1"/>
    <col min="824" max="824" width="20.5703125" bestFit="1" customWidth="1"/>
    <col min="825" max="825" width="15.7109375" bestFit="1" customWidth="1"/>
    <col min="826" max="826" width="17.28515625" bestFit="1" customWidth="1"/>
    <col min="827" max="827" width="18.7109375" bestFit="1" customWidth="1"/>
    <col min="828" max="828" width="15.7109375" bestFit="1" customWidth="1"/>
    <col min="829" max="829" width="14.5703125" bestFit="1" customWidth="1"/>
    <col min="830" max="830" width="15.7109375" bestFit="1" customWidth="1"/>
    <col min="831" max="831" width="16.42578125" bestFit="1" customWidth="1"/>
    <col min="832" max="832" width="15.7109375" bestFit="1" customWidth="1"/>
    <col min="833" max="833" width="14.42578125" bestFit="1" customWidth="1"/>
    <col min="834" max="834" width="15.7109375" bestFit="1" customWidth="1"/>
    <col min="835" max="835" width="17" bestFit="1" customWidth="1"/>
    <col min="836" max="836" width="15.28515625" bestFit="1" customWidth="1"/>
    <col min="837" max="837" width="16.5703125" bestFit="1" customWidth="1"/>
    <col min="838" max="838" width="15.7109375" bestFit="1" customWidth="1"/>
    <col min="839" max="839" width="18.5703125" bestFit="1" customWidth="1"/>
    <col min="840" max="840" width="15.7109375" bestFit="1" customWidth="1"/>
    <col min="841" max="841" width="14.5703125" bestFit="1" customWidth="1"/>
    <col min="842" max="842" width="15.7109375" bestFit="1" customWidth="1"/>
    <col min="843" max="843" width="17" bestFit="1" customWidth="1"/>
    <col min="844" max="844" width="20.5703125" bestFit="1" customWidth="1"/>
    <col min="845" max="847" width="15.7109375" bestFit="1" customWidth="1"/>
    <col min="848" max="848" width="16.5703125" bestFit="1" customWidth="1"/>
    <col min="849" max="849" width="15.7109375" bestFit="1" customWidth="1"/>
    <col min="850" max="850" width="16.42578125" bestFit="1" customWidth="1"/>
    <col min="851" max="851" width="15.7109375" bestFit="1" customWidth="1"/>
    <col min="852" max="852" width="14.5703125" bestFit="1" customWidth="1"/>
    <col min="853" max="853" width="15.7109375" bestFit="1" customWidth="1"/>
    <col min="854" max="854" width="14.42578125" bestFit="1" customWidth="1"/>
    <col min="855" max="855" width="15.7109375" bestFit="1" customWidth="1"/>
    <col min="856" max="856" width="16.7109375" bestFit="1" customWidth="1"/>
    <col min="857" max="857" width="15.7109375" bestFit="1" customWidth="1"/>
    <col min="858" max="858" width="12.5703125" bestFit="1" customWidth="1"/>
    <col min="859" max="859" width="15.7109375" bestFit="1" customWidth="1"/>
    <col min="860" max="860" width="15.28515625" bestFit="1" customWidth="1"/>
    <col min="861" max="861" width="15.7109375" bestFit="1" customWidth="1"/>
    <col min="862" max="862" width="16.7109375" bestFit="1" customWidth="1"/>
    <col min="863" max="863" width="15.7109375" bestFit="1" customWidth="1"/>
    <col min="864" max="864" width="14.7109375" bestFit="1" customWidth="1"/>
    <col min="865" max="865" width="13" bestFit="1" customWidth="1"/>
    <col min="866" max="866" width="14.5703125" bestFit="1" customWidth="1"/>
    <col min="867" max="867" width="19.140625" bestFit="1" customWidth="1"/>
    <col min="868" max="868" width="16.5703125" bestFit="1" customWidth="1"/>
    <col min="869" max="869" width="13.5703125" bestFit="1" customWidth="1"/>
    <col min="870" max="870" width="15.7109375" bestFit="1" customWidth="1"/>
    <col min="871" max="871" width="16.5703125" bestFit="1" customWidth="1"/>
    <col min="872" max="872" width="15.7109375" bestFit="1" customWidth="1"/>
    <col min="873" max="873" width="13" bestFit="1" customWidth="1"/>
    <col min="874" max="874" width="15.7109375" bestFit="1" customWidth="1"/>
    <col min="875" max="875" width="15.28515625" bestFit="1" customWidth="1"/>
    <col min="876" max="876" width="15.7109375" bestFit="1" customWidth="1"/>
    <col min="877" max="877" width="14.7109375" bestFit="1" customWidth="1"/>
    <col min="878" max="878" width="15.7109375" bestFit="1" customWidth="1"/>
    <col min="879" max="879" width="16.5703125" bestFit="1" customWidth="1"/>
    <col min="880" max="880" width="15.7109375" bestFit="1" customWidth="1"/>
    <col min="881" max="881" width="13" bestFit="1" customWidth="1"/>
    <col min="882" max="882" width="15.7109375" bestFit="1" customWidth="1"/>
    <col min="883" max="883" width="16.140625" bestFit="1" customWidth="1"/>
    <col min="884" max="884" width="20.5703125" bestFit="1" customWidth="1"/>
    <col min="885" max="885" width="15.7109375" bestFit="1" customWidth="1"/>
    <col min="886" max="886" width="16.42578125" bestFit="1" customWidth="1"/>
    <col min="887" max="887" width="15.7109375" bestFit="1" customWidth="1"/>
    <col min="888" max="888" width="15.28515625" bestFit="1" customWidth="1"/>
    <col min="889" max="889" width="15.7109375" bestFit="1" customWidth="1"/>
    <col min="890" max="890" width="20.5703125" bestFit="1" customWidth="1"/>
    <col min="891" max="891" width="15.7109375" bestFit="1" customWidth="1"/>
    <col min="892" max="892" width="14.7109375" bestFit="1" customWidth="1"/>
    <col min="893" max="893" width="12.5703125" bestFit="1" customWidth="1"/>
    <col min="894" max="894" width="17.140625" bestFit="1" customWidth="1"/>
    <col min="895" max="895" width="16.140625" bestFit="1" customWidth="1"/>
    <col min="896" max="896" width="14.5703125" bestFit="1" customWidth="1"/>
    <col min="897" max="897" width="17.28515625" bestFit="1" customWidth="1"/>
    <col min="898" max="899" width="16.5703125" bestFit="1" customWidth="1"/>
    <col min="900" max="900" width="15.7109375" bestFit="1" customWidth="1"/>
    <col min="901" max="901" width="16.5703125" bestFit="1" customWidth="1"/>
    <col min="902" max="902" width="15.7109375" bestFit="1" customWidth="1"/>
    <col min="903" max="903" width="17.28515625" bestFit="1" customWidth="1"/>
    <col min="904" max="904" width="14.5703125" bestFit="1" customWidth="1"/>
    <col min="905" max="905" width="15.7109375" bestFit="1" customWidth="1"/>
    <col min="906" max="906" width="14.5703125" bestFit="1" customWidth="1"/>
    <col min="907" max="907" width="16.7109375" bestFit="1" customWidth="1"/>
    <col min="908" max="908" width="15.7109375" bestFit="1" customWidth="1"/>
    <col min="909" max="909" width="16.140625" bestFit="1" customWidth="1"/>
    <col min="910" max="910" width="15.7109375" bestFit="1" customWidth="1"/>
    <col min="911" max="911" width="16.140625" bestFit="1" customWidth="1"/>
    <col min="912" max="912" width="14.5703125" bestFit="1" customWidth="1"/>
    <col min="913" max="913" width="13.85546875" bestFit="1" customWidth="1"/>
    <col min="914" max="914" width="18.5703125" bestFit="1" customWidth="1"/>
    <col min="915" max="915" width="14.5703125" bestFit="1" customWidth="1"/>
    <col min="916" max="916" width="15.7109375" bestFit="1" customWidth="1"/>
    <col min="917" max="917" width="14.7109375" bestFit="1" customWidth="1"/>
    <col min="918" max="918" width="15.7109375" bestFit="1" customWidth="1"/>
    <col min="919" max="919" width="12.5703125" bestFit="1" customWidth="1"/>
    <col min="920" max="920" width="15.7109375" bestFit="1" customWidth="1"/>
    <col min="921" max="921" width="17.7109375" bestFit="1" customWidth="1"/>
    <col min="922" max="922" width="15.7109375" bestFit="1" customWidth="1"/>
    <col min="923" max="923" width="16.140625" bestFit="1" customWidth="1"/>
    <col min="924" max="924" width="15.7109375" bestFit="1" customWidth="1"/>
    <col min="925" max="925" width="14.5703125" bestFit="1" customWidth="1"/>
    <col min="926" max="926" width="15.7109375" bestFit="1" customWidth="1"/>
    <col min="927" max="927" width="21.28515625" bestFit="1" customWidth="1"/>
    <col min="928" max="928" width="17.28515625" bestFit="1" customWidth="1"/>
    <col min="929" max="929" width="16.5703125" bestFit="1" customWidth="1"/>
    <col min="930" max="930" width="17" bestFit="1" customWidth="1"/>
    <col min="931" max="931" width="15.7109375" bestFit="1" customWidth="1"/>
    <col min="932" max="932" width="16.140625" bestFit="1" customWidth="1"/>
    <col min="933" max="933" width="15.7109375" bestFit="1" customWidth="1"/>
    <col min="934" max="934" width="20.5703125" bestFit="1" customWidth="1"/>
    <col min="935" max="935" width="15.7109375" bestFit="1" customWidth="1"/>
    <col min="936" max="936" width="21.28515625" bestFit="1" customWidth="1"/>
    <col min="937" max="937" width="15.7109375" bestFit="1" customWidth="1"/>
    <col min="938" max="938" width="17" bestFit="1" customWidth="1"/>
    <col min="939" max="939" width="15.7109375" bestFit="1" customWidth="1"/>
    <col min="940" max="940" width="19.140625" bestFit="1" customWidth="1"/>
    <col min="941" max="941" width="15.7109375" bestFit="1" customWidth="1"/>
    <col min="942" max="942" width="19.140625" bestFit="1" customWidth="1"/>
    <col min="943" max="943" width="15.7109375" bestFit="1" customWidth="1"/>
    <col min="944" max="944" width="14.5703125" bestFit="1" customWidth="1"/>
    <col min="945" max="945" width="15.7109375" bestFit="1" customWidth="1"/>
    <col min="946" max="946" width="17.140625" bestFit="1" customWidth="1"/>
    <col min="947" max="947" width="15.7109375" bestFit="1" customWidth="1"/>
    <col min="948" max="948" width="16.140625" bestFit="1" customWidth="1"/>
    <col min="949" max="949" width="14.5703125" bestFit="1" customWidth="1"/>
    <col min="950" max="950" width="15.7109375" bestFit="1" customWidth="1"/>
    <col min="951" max="951" width="18.7109375" bestFit="1" customWidth="1"/>
    <col min="952" max="952" width="15.7109375" bestFit="1" customWidth="1"/>
    <col min="953" max="953" width="13.85546875" bestFit="1" customWidth="1"/>
    <col min="954" max="954" width="16.140625" bestFit="1" customWidth="1"/>
    <col min="955" max="955" width="16.7109375" bestFit="1" customWidth="1"/>
    <col min="956" max="956" width="15.7109375" bestFit="1" customWidth="1"/>
    <col min="957" max="957" width="17.7109375" bestFit="1" customWidth="1"/>
    <col min="958" max="958" width="16.140625" bestFit="1" customWidth="1"/>
    <col min="959" max="959" width="14.5703125" bestFit="1" customWidth="1"/>
    <col min="960" max="960" width="17.28515625" bestFit="1" customWidth="1"/>
    <col min="961" max="961" width="15.7109375" bestFit="1" customWidth="1"/>
    <col min="962" max="962" width="13.5703125" bestFit="1" customWidth="1"/>
    <col min="963" max="963" width="15.7109375" bestFit="1" customWidth="1"/>
    <col min="964" max="964" width="16.42578125" bestFit="1" customWidth="1"/>
    <col min="965" max="965" width="14.7109375" bestFit="1" customWidth="1"/>
    <col min="966" max="966" width="16.140625" bestFit="1" customWidth="1"/>
    <col min="967" max="967" width="15.28515625" bestFit="1" customWidth="1"/>
    <col min="968" max="968" width="15.7109375" bestFit="1" customWidth="1"/>
    <col min="969" max="969" width="17.140625" bestFit="1" customWidth="1"/>
    <col min="970" max="970" width="15.7109375" bestFit="1" customWidth="1"/>
    <col min="971" max="971" width="16.5703125" bestFit="1" customWidth="1"/>
    <col min="972" max="972" width="18.5703125" bestFit="1" customWidth="1"/>
    <col min="973" max="973" width="15.7109375" bestFit="1" customWidth="1"/>
    <col min="974" max="974" width="17.7109375" bestFit="1" customWidth="1"/>
    <col min="975" max="975" width="15.7109375" bestFit="1" customWidth="1"/>
    <col min="976" max="976" width="12.5703125" bestFit="1" customWidth="1"/>
    <col min="977" max="977" width="15.7109375" bestFit="1" customWidth="1"/>
    <col min="978" max="978" width="16.42578125" bestFit="1" customWidth="1"/>
    <col min="979" max="979" width="15.7109375" bestFit="1" customWidth="1"/>
    <col min="980" max="980" width="16.5703125" bestFit="1" customWidth="1"/>
    <col min="981" max="981" width="14.5703125" bestFit="1" customWidth="1"/>
    <col min="982" max="982" width="19.140625" bestFit="1" customWidth="1"/>
    <col min="983" max="983" width="13.85546875" bestFit="1" customWidth="1"/>
    <col min="984" max="984" width="16.140625" bestFit="1" customWidth="1"/>
    <col min="985" max="985" width="18.7109375" bestFit="1" customWidth="1"/>
    <col min="986" max="986" width="17" bestFit="1" customWidth="1"/>
    <col min="987" max="987" width="15.7109375" bestFit="1" customWidth="1"/>
    <col min="988" max="988" width="17" bestFit="1" customWidth="1"/>
    <col min="989" max="989" width="15.7109375" bestFit="1" customWidth="1"/>
    <col min="990" max="990" width="16.7109375" bestFit="1" customWidth="1"/>
    <col min="991" max="991" width="15.7109375" bestFit="1" customWidth="1"/>
    <col min="992" max="992" width="19.140625" bestFit="1" customWidth="1"/>
    <col min="993" max="993" width="15.7109375" bestFit="1" customWidth="1"/>
    <col min="994" max="994" width="14.5703125" bestFit="1" customWidth="1"/>
    <col min="995" max="995" width="15.7109375" bestFit="1" customWidth="1"/>
    <col min="996" max="996" width="13.5703125" bestFit="1" customWidth="1"/>
    <col min="997" max="997" width="15.7109375" bestFit="1" customWidth="1"/>
    <col min="998" max="998" width="17.28515625" bestFit="1" customWidth="1"/>
    <col min="999" max="1001" width="15.7109375" bestFit="1" customWidth="1"/>
    <col min="1002" max="1002" width="16.140625" bestFit="1" customWidth="1"/>
    <col min="1003" max="1003" width="17.140625" bestFit="1" customWidth="1"/>
    <col min="1004" max="1004" width="13.85546875" bestFit="1" customWidth="1"/>
    <col min="1005" max="1005" width="17.28515625" bestFit="1" customWidth="1"/>
    <col min="1006" max="1006" width="16.5703125" bestFit="1" customWidth="1"/>
    <col min="1007" max="1007" width="16.7109375" bestFit="1" customWidth="1"/>
    <col min="1008" max="1008" width="14.7109375" bestFit="1" customWidth="1"/>
    <col min="1009" max="1009" width="12.5703125" bestFit="1" customWidth="1"/>
    <col min="1010" max="1010" width="16.5703125" bestFit="1" customWidth="1"/>
    <col min="1011" max="1011" width="16.7109375" bestFit="1" customWidth="1"/>
    <col min="1012" max="1012" width="20.5703125" bestFit="1" customWidth="1"/>
    <col min="1013" max="1013" width="16.7109375" bestFit="1" customWidth="1"/>
    <col min="1014" max="1014" width="16.5703125" bestFit="1" customWidth="1"/>
    <col min="1015" max="1015" width="16.7109375" bestFit="1" customWidth="1"/>
    <col min="1016" max="1016" width="16.5703125" bestFit="1" customWidth="1"/>
    <col min="1017" max="1017" width="16.7109375" bestFit="1" customWidth="1"/>
    <col min="1018" max="1018" width="19.140625" bestFit="1" customWidth="1"/>
    <col min="1019" max="1019" width="16.7109375" bestFit="1" customWidth="1"/>
    <col min="1020" max="1020" width="13.5703125" bestFit="1" customWidth="1"/>
    <col min="1021" max="1021" width="16.7109375" bestFit="1" customWidth="1"/>
    <col min="1022" max="1022" width="13.85546875" bestFit="1" customWidth="1"/>
    <col min="1023" max="1023" width="17.7109375" bestFit="1" customWidth="1"/>
    <col min="1024" max="1024" width="13.85546875" bestFit="1" customWidth="1"/>
    <col min="1025" max="1025" width="14.5703125" bestFit="1" customWidth="1"/>
    <col min="1026" max="1026" width="15.7109375" bestFit="1" customWidth="1"/>
    <col min="1027" max="1027" width="16.5703125" bestFit="1" customWidth="1"/>
    <col min="1028" max="1028" width="16.7109375" bestFit="1" customWidth="1"/>
    <col min="1029" max="1029" width="21.28515625" bestFit="1" customWidth="1"/>
    <col min="1030" max="1030" width="16.7109375" bestFit="1" customWidth="1"/>
    <col min="1031" max="1031" width="13.85546875" bestFit="1" customWidth="1"/>
    <col min="1032" max="1032" width="16.7109375" bestFit="1" customWidth="1"/>
    <col min="1033" max="1033" width="17" bestFit="1" customWidth="1"/>
    <col min="1034" max="1034" width="16.7109375" bestFit="1" customWidth="1"/>
    <col min="1035" max="1035" width="16.42578125" bestFit="1" customWidth="1"/>
    <col min="1036" max="1036" width="16.5703125" bestFit="1" customWidth="1"/>
    <col min="1037" max="1037" width="14.5703125" bestFit="1" customWidth="1"/>
    <col min="1038" max="1038" width="19.140625" bestFit="1" customWidth="1"/>
    <col min="1039" max="1039" width="16.140625" bestFit="1" customWidth="1"/>
    <col min="1040" max="1040" width="17.28515625" bestFit="1" customWidth="1"/>
    <col min="1041" max="1041" width="19" bestFit="1" customWidth="1"/>
    <col min="1042" max="1042" width="20.5703125" bestFit="1" customWidth="1"/>
    <col min="1043" max="1043" width="16.7109375" bestFit="1" customWidth="1"/>
    <col min="1044" max="1044" width="16.42578125" bestFit="1" customWidth="1"/>
    <col min="1045" max="1045" width="16.7109375" bestFit="1" customWidth="1"/>
    <col min="1046" max="1046" width="20.5703125" bestFit="1" customWidth="1"/>
    <col min="1047" max="1047" width="16.7109375" bestFit="1" customWidth="1"/>
    <col min="1048" max="1048" width="15.28515625" bestFit="1" customWidth="1"/>
    <col min="1049" max="1049" width="16.7109375" bestFit="1" customWidth="1"/>
    <col min="1050" max="1050" width="14.7109375" bestFit="1" customWidth="1"/>
    <col min="1051" max="1051" width="12.5703125" bestFit="1" customWidth="1"/>
    <col min="1052" max="1052" width="16.7109375" bestFit="1" customWidth="1"/>
    <col min="1053" max="1053" width="17.7109375" bestFit="1" customWidth="1"/>
    <col min="1054" max="1054" width="16.7109375" bestFit="1" customWidth="1"/>
    <col min="1055" max="1055" width="17.28515625" bestFit="1" customWidth="1"/>
    <col min="1056" max="1056" width="14.5703125" bestFit="1" customWidth="1"/>
    <col min="1057" max="1057" width="17.28515625" bestFit="1" customWidth="1"/>
    <col min="1058" max="1058" width="16.140625" bestFit="1" customWidth="1"/>
    <col min="1059" max="1059" width="16.5703125" bestFit="1" customWidth="1"/>
    <col min="1060" max="1060" width="16.7109375" bestFit="1" customWidth="1"/>
    <col min="1061" max="1061" width="14.42578125" bestFit="1" customWidth="1"/>
    <col min="1062" max="1062" width="16.7109375" bestFit="1" customWidth="1"/>
    <col min="1063" max="1063" width="14.5703125" bestFit="1" customWidth="1"/>
    <col min="1064" max="1064" width="16.140625" bestFit="1" customWidth="1"/>
    <col min="1065" max="1065" width="16.7109375" bestFit="1" customWidth="1"/>
    <col min="1066" max="1066" width="13.85546875" bestFit="1" customWidth="1"/>
    <col min="1067" max="1067" width="16.140625" bestFit="1" customWidth="1"/>
    <col min="1068" max="1068" width="16.7109375" bestFit="1" customWidth="1"/>
    <col min="1069" max="1069" width="16.5703125" bestFit="1" customWidth="1"/>
    <col min="1070" max="1070" width="16.7109375" bestFit="1" customWidth="1"/>
    <col min="1071" max="1071" width="14.7109375" bestFit="1" customWidth="1"/>
    <col min="1072" max="1072" width="16.7109375" bestFit="1" customWidth="1"/>
    <col min="1073" max="1073" width="16.42578125" bestFit="1" customWidth="1"/>
    <col min="1074" max="1074" width="16.140625" bestFit="1" customWidth="1"/>
    <col min="1075" max="1075" width="17.140625" bestFit="1" customWidth="1"/>
    <col min="1076" max="1076" width="18.5703125" bestFit="1" customWidth="1"/>
    <col min="1077" max="1077" width="16.7109375" bestFit="1" customWidth="1"/>
    <col min="1078" max="1078" width="17" bestFit="1" customWidth="1"/>
    <col min="1079" max="1079" width="16.7109375" bestFit="1" customWidth="1"/>
    <col min="1080" max="1080" width="15.7109375" bestFit="1" customWidth="1"/>
    <col min="1081" max="1081" width="16.7109375" bestFit="1" customWidth="1"/>
    <col min="1082" max="1082" width="20.5703125" bestFit="1" customWidth="1"/>
    <col min="1083" max="1083" width="16.7109375" bestFit="1" customWidth="1"/>
    <col min="1084" max="1084" width="19" bestFit="1" customWidth="1"/>
    <col min="1085" max="1085" width="16.7109375" bestFit="1" customWidth="1"/>
    <col min="1086" max="1086" width="19" bestFit="1" customWidth="1"/>
    <col min="1087" max="1087" width="16.7109375" bestFit="1" customWidth="1"/>
    <col min="1088" max="1088" width="19" bestFit="1" customWidth="1"/>
    <col min="1089" max="1089" width="16.7109375" bestFit="1" customWidth="1"/>
    <col min="1090" max="1090" width="19" bestFit="1" customWidth="1"/>
    <col min="1091" max="1091" width="16.7109375" bestFit="1" customWidth="1"/>
    <col min="1092" max="1092" width="13.5703125" bestFit="1" customWidth="1"/>
    <col min="1093" max="1093" width="16.7109375" bestFit="1" customWidth="1"/>
    <col min="1094" max="1094" width="14.7109375" bestFit="1" customWidth="1"/>
    <col min="1095" max="1095" width="16.7109375" bestFit="1" customWidth="1"/>
    <col min="1096" max="1096" width="16.42578125" bestFit="1" customWidth="1"/>
    <col min="1097" max="1097" width="17.140625" bestFit="1" customWidth="1"/>
    <col min="1098" max="1098" width="16.7109375" bestFit="1" customWidth="1"/>
    <col min="1099" max="1099" width="16.140625" bestFit="1" customWidth="1"/>
    <col min="1100" max="1100" width="16.7109375" bestFit="1" customWidth="1"/>
    <col min="1101" max="1101" width="20.5703125" bestFit="1" customWidth="1"/>
    <col min="1102" max="1102" width="16.7109375" bestFit="1" customWidth="1"/>
    <col min="1103" max="1103" width="13.5703125" bestFit="1" customWidth="1"/>
    <col min="1104" max="1104" width="17" bestFit="1" customWidth="1"/>
    <col min="1105" max="1105" width="16.7109375" bestFit="1" customWidth="1"/>
    <col min="1106" max="1106" width="19.140625" bestFit="1" customWidth="1"/>
    <col min="1107" max="1107" width="16.7109375" bestFit="1" customWidth="1"/>
    <col min="1108" max="1108" width="14.5703125" bestFit="1" customWidth="1"/>
    <col min="1109" max="1109" width="16.7109375" bestFit="1" customWidth="1"/>
    <col min="1110" max="1110" width="17.28515625" bestFit="1" customWidth="1"/>
    <col min="1111" max="1111" width="19" bestFit="1" customWidth="1"/>
    <col min="1112" max="1112" width="16.7109375" bestFit="1" customWidth="1"/>
    <col min="1113" max="1113" width="16.42578125" bestFit="1" customWidth="1"/>
    <col min="1114" max="1114" width="16.7109375" bestFit="1" customWidth="1"/>
    <col min="1115" max="1115" width="20.5703125" bestFit="1" customWidth="1"/>
    <col min="1116" max="1116" width="16.7109375" bestFit="1" customWidth="1"/>
    <col min="1117" max="1117" width="17.7109375" bestFit="1" customWidth="1"/>
    <col min="1118" max="1118" width="16.7109375" bestFit="1" customWidth="1"/>
    <col min="1119" max="1119" width="16.140625" bestFit="1" customWidth="1"/>
    <col min="1120" max="1120" width="16.7109375" bestFit="1" customWidth="1"/>
    <col min="1121" max="1121" width="13.5703125" bestFit="1" customWidth="1"/>
    <col min="1122" max="1122" width="15.7109375" bestFit="1" customWidth="1"/>
    <col min="1123" max="1123" width="13.5703125" bestFit="1" customWidth="1"/>
    <col min="1124" max="1124" width="16.7109375" bestFit="1" customWidth="1"/>
    <col min="1125" max="1125" width="18.7109375" bestFit="1" customWidth="1"/>
    <col min="1126" max="1126" width="16.7109375" bestFit="1" customWidth="1"/>
    <col min="1127" max="1127" width="16.5703125" bestFit="1" customWidth="1"/>
    <col min="1128" max="1128" width="16.7109375" bestFit="1" customWidth="1"/>
    <col min="1129" max="1129" width="19" bestFit="1" customWidth="1"/>
    <col min="1130" max="1130" width="16.7109375" bestFit="1" customWidth="1"/>
    <col min="1131" max="1131" width="15.7109375" bestFit="1" customWidth="1"/>
    <col min="1132" max="1132" width="16.7109375" bestFit="1" customWidth="1"/>
    <col min="1133" max="1133" width="18.5703125" bestFit="1" customWidth="1"/>
    <col min="1134" max="1134" width="16.7109375" bestFit="1" customWidth="1"/>
    <col min="1135" max="1135" width="14.5703125" bestFit="1" customWidth="1"/>
    <col min="1136" max="1136" width="16.7109375" bestFit="1" customWidth="1"/>
    <col min="1137" max="1137" width="17" bestFit="1" customWidth="1"/>
    <col min="1138" max="1138" width="16.7109375" bestFit="1" customWidth="1"/>
    <col min="1139" max="1139" width="19" bestFit="1" customWidth="1"/>
    <col min="1140" max="1140" width="16.7109375" bestFit="1" customWidth="1"/>
    <col min="1141" max="1141" width="19" bestFit="1" customWidth="1"/>
    <col min="1142" max="1142" width="16.7109375" bestFit="1" customWidth="1"/>
    <col min="1143" max="1143" width="13.5703125" bestFit="1" customWidth="1"/>
    <col min="1144" max="1144" width="16.5703125" bestFit="1" customWidth="1"/>
    <col min="1145" max="1145" width="16.7109375" bestFit="1" customWidth="1"/>
    <col min="1146" max="1146" width="14.42578125" bestFit="1" customWidth="1"/>
    <col min="1147" max="1147" width="17.140625" bestFit="1" customWidth="1"/>
    <col min="1148" max="1148" width="16.7109375" bestFit="1" customWidth="1"/>
    <col min="1149" max="1149" width="14.7109375" bestFit="1" customWidth="1"/>
    <col min="1150" max="1150" width="16.7109375" bestFit="1" customWidth="1"/>
    <col min="1151" max="1151" width="16.42578125" bestFit="1" customWidth="1"/>
    <col min="1152" max="1152" width="16.7109375" bestFit="1" customWidth="1"/>
    <col min="1153" max="1153" width="17.28515625" bestFit="1" customWidth="1"/>
    <col min="1154" max="1154" width="16.7109375" bestFit="1" customWidth="1"/>
    <col min="1155" max="1155" width="13.85546875" bestFit="1" customWidth="1"/>
    <col min="1156" max="1156" width="16.7109375" bestFit="1" customWidth="1"/>
    <col min="1157" max="1157" width="19.140625" bestFit="1" customWidth="1"/>
    <col min="1158" max="1158" width="16.7109375" bestFit="1" customWidth="1"/>
    <col min="1159" max="1159" width="16.140625" bestFit="1" customWidth="1"/>
    <col min="1160" max="1160" width="20.5703125" bestFit="1" customWidth="1"/>
    <col min="1161" max="1161" width="16.7109375" bestFit="1" customWidth="1"/>
    <col min="1162" max="1162" width="17.28515625" bestFit="1" customWidth="1"/>
    <col min="1163" max="1163" width="16.7109375" bestFit="1" customWidth="1"/>
    <col min="1164" max="1164" width="16.140625" bestFit="1" customWidth="1"/>
    <col min="1165" max="1165" width="17.28515625" bestFit="1" customWidth="1"/>
    <col min="1166" max="1166" width="17" bestFit="1" customWidth="1"/>
    <col min="1167" max="1167" width="16.7109375" bestFit="1" customWidth="1"/>
    <col min="1168" max="1168" width="20.5703125" bestFit="1" customWidth="1"/>
    <col min="1169" max="1169" width="16.7109375" bestFit="1" customWidth="1"/>
    <col min="1170" max="1170" width="19" bestFit="1" customWidth="1"/>
    <col min="1171" max="1171" width="16.7109375" bestFit="1" customWidth="1"/>
    <col min="1172" max="1172" width="14.5703125" bestFit="1" customWidth="1"/>
    <col min="1173" max="1173" width="16.7109375" bestFit="1" customWidth="1"/>
    <col min="1174" max="1174" width="13.5703125" bestFit="1" customWidth="1"/>
    <col min="1175" max="1175" width="16.7109375" bestFit="1" customWidth="1"/>
    <col min="1176" max="1176" width="19" bestFit="1" customWidth="1"/>
    <col min="1177" max="1177" width="16.7109375" bestFit="1" customWidth="1"/>
    <col min="1178" max="1178" width="14.7109375" bestFit="1" customWidth="1"/>
    <col min="1179" max="1179" width="16.7109375" bestFit="1" customWidth="1"/>
    <col min="1180" max="1180" width="16.140625" bestFit="1" customWidth="1"/>
    <col min="1181" max="1181" width="16.5703125" bestFit="1" customWidth="1"/>
    <col min="1182" max="1182" width="16.7109375" bestFit="1" customWidth="1"/>
    <col min="1183" max="1183" width="14.7109375" bestFit="1" customWidth="1"/>
    <col min="1184" max="1184" width="16.7109375" bestFit="1" customWidth="1"/>
    <col min="1185" max="1185" width="13.5703125" bestFit="1" customWidth="1"/>
    <col min="1186" max="1186" width="15.7109375" bestFit="1" customWidth="1"/>
    <col min="1187" max="1187" width="16.7109375" bestFit="1" customWidth="1"/>
    <col min="1188" max="1188" width="13.5703125" bestFit="1" customWidth="1"/>
    <col min="1189" max="1189" width="14.42578125" bestFit="1" customWidth="1"/>
    <col min="1190" max="1190" width="16.7109375" bestFit="1" customWidth="1"/>
    <col min="1191" max="1191" width="17.28515625" bestFit="1" customWidth="1"/>
    <col min="1192" max="1192" width="16.7109375" bestFit="1" customWidth="1"/>
    <col min="1193" max="1193" width="13.5703125" bestFit="1" customWidth="1"/>
    <col min="1194" max="1194" width="16.7109375" bestFit="1" customWidth="1"/>
    <col min="1195" max="1195" width="15.7109375" bestFit="1" customWidth="1"/>
    <col min="1196" max="1196" width="16.7109375" bestFit="1" customWidth="1"/>
    <col min="1197" max="1197" width="13.5703125" bestFit="1" customWidth="1"/>
    <col min="1198" max="1198" width="16.7109375" bestFit="1" customWidth="1"/>
    <col min="1199" max="1199" width="17.7109375" bestFit="1" customWidth="1"/>
    <col min="1200" max="1200" width="16.7109375" bestFit="1" customWidth="1"/>
    <col min="1201" max="1201" width="14.5703125" bestFit="1" customWidth="1"/>
    <col min="1202" max="1202" width="16.7109375" bestFit="1" customWidth="1"/>
    <col min="1203" max="1203" width="14.5703125" bestFit="1" customWidth="1"/>
    <col min="1204" max="1204" width="16.7109375" bestFit="1" customWidth="1"/>
    <col min="1205" max="1205" width="14.7109375" bestFit="1" customWidth="1"/>
    <col min="1206" max="1206" width="13" bestFit="1" customWidth="1"/>
    <col min="1207" max="1207" width="18.7109375" bestFit="1" customWidth="1"/>
    <col min="1208" max="1208" width="16.7109375" bestFit="1" customWidth="1"/>
    <col min="1209" max="1209" width="21.28515625" bestFit="1" customWidth="1"/>
    <col min="1210" max="1210" width="16.7109375" bestFit="1" customWidth="1"/>
    <col min="1211" max="1211" width="19.140625" bestFit="1" customWidth="1"/>
    <col min="1212" max="1212" width="16.7109375" bestFit="1" customWidth="1"/>
    <col min="1213" max="1213" width="13.5703125" bestFit="1" customWidth="1"/>
    <col min="1214" max="1214" width="16.7109375" bestFit="1" customWidth="1"/>
    <col min="1215" max="1215" width="14.42578125" bestFit="1" customWidth="1"/>
  </cols>
  <sheetData>
    <row r="3" spans="1:6">
      <c r="A3" s="10" t="s">
        <v>0</v>
      </c>
      <c r="B3" t="s">
        <v>1</v>
      </c>
    </row>
    <row r="4" spans="1:6">
      <c r="A4" t="s">
        <v>2</v>
      </c>
      <c r="B4" s="5">
        <v>4179943.4285714286</v>
      </c>
    </row>
    <row r="5" spans="1:6">
      <c r="A5" t="s">
        <v>3</v>
      </c>
      <c r="B5" s="5">
        <v>2872622.1034482759</v>
      </c>
      <c r="D5" s="11" t="s">
        <v>4</v>
      </c>
      <c r="F5" s="14">
        <f>MAX(B3:B34)</f>
        <v>44083333</v>
      </c>
    </row>
    <row r="6" spans="1:6">
      <c r="A6" t="s">
        <v>5</v>
      </c>
      <c r="B6" s="5">
        <v>5108995.6206896547</v>
      </c>
    </row>
    <row r="7" spans="1:6">
      <c r="A7" t="s">
        <v>6</v>
      </c>
      <c r="B7" s="5">
        <v>6445240.1875</v>
      </c>
    </row>
    <row r="8" spans="1:6">
      <c r="A8" t="s">
        <v>7</v>
      </c>
      <c r="B8" s="5">
        <v>6992692.384615385</v>
      </c>
    </row>
    <row r="9" spans="1:6">
      <c r="A9" t="s">
        <v>8</v>
      </c>
      <c r="B9" s="5">
        <v>3187049.3703703703</v>
      </c>
    </row>
    <row r="10" spans="1:6">
      <c r="A10" t="s">
        <v>9</v>
      </c>
      <c r="B10" s="5">
        <v>3178701.59375</v>
      </c>
    </row>
    <row r="11" spans="1:6">
      <c r="A11" t="s">
        <v>10</v>
      </c>
      <c r="B11" s="5">
        <v>4555072.2333333334</v>
      </c>
    </row>
    <row r="12" spans="1:6">
      <c r="A12" t="s">
        <v>11</v>
      </c>
      <c r="B12" s="5">
        <v>4804430.9655172415</v>
      </c>
    </row>
    <row r="13" spans="1:6">
      <c r="A13" t="s">
        <v>12</v>
      </c>
      <c r="B13" s="5">
        <v>4121703.7037037038</v>
      </c>
    </row>
    <row r="14" spans="1:6">
      <c r="A14" t="s">
        <v>13</v>
      </c>
      <c r="B14" s="5">
        <v>5751296.666666667</v>
      </c>
    </row>
    <row r="15" spans="1:6">
      <c r="A15" t="s">
        <v>14</v>
      </c>
      <c r="B15" s="5">
        <v>3725261.8064516131</v>
      </c>
    </row>
    <row r="16" spans="1:6">
      <c r="A16" t="s">
        <v>15</v>
      </c>
      <c r="B16" s="5">
        <v>5314038.423076923</v>
      </c>
    </row>
    <row r="17" spans="1:2">
      <c r="A17" t="s">
        <v>16</v>
      </c>
      <c r="B17" s="5">
        <v>5741268.4482758623</v>
      </c>
    </row>
    <row r="18" spans="1:2">
      <c r="A18" s="12" t="s">
        <v>17</v>
      </c>
      <c r="B18" s="13">
        <v>44083333</v>
      </c>
    </row>
    <row r="19" spans="1:2">
      <c r="A19" t="s">
        <v>18</v>
      </c>
      <c r="B19" s="5">
        <v>2682593.75</v>
      </c>
    </row>
    <row r="20" spans="1:2">
      <c r="A20" t="s">
        <v>19</v>
      </c>
      <c r="B20" s="5">
        <v>3243852</v>
      </c>
    </row>
    <row r="21" spans="1:2">
      <c r="A21" t="s">
        <v>20</v>
      </c>
      <c r="B21" s="5">
        <v>4318666.666666667</v>
      </c>
    </row>
    <row r="22" spans="1:2">
      <c r="A22" t="s">
        <v>21</v>
      </c>
      <c r="B22" s="5">
        <v>5760381.9666666668</v>
      </c>
    </row>
    <row r="23" spans="1:2">
      <c r="A23" t="s">
        <v>22</v>
      </c>
      <c r="B23" s="5">
        <v>5763425.6071428573</v>
      </c>
    </row>
    <row r="24" spans="1:2">
      <c r="A24" t="s">
        <v>23</v>
      </c>
      <c r="B24" s="5">
        <v>2088416.6666666667</v>
      </c>
    </row>
    <row r="25" spans="1:2">
      <c r="A25" t="s">
        <v>24</v>
      </c>
      <c r="B25" s="5">
        <v>3213385.0344827585</v>
      </c>
    </row>
    <row r="26" spans="1:2">
      <c r="A26" t="s">
        <v>25</v>
      </c>
      <c r="B26" s="5">
        <v>2916752.8620689656</v>
      </c>
    </row>
    <row r="27" spans="1:2">
      <c r="A27" t="s">
        <v>26</v>
      </c>
      <c r="B27" s="5">
        <v>2377952.6451612902</v>
      </c>
    </row>
    <row r="28" spans="1:2">
      <c r="A28" t="s">
        <v>27</v>
      </c>
      <c r="B28" s="5">
        <v>7380898.1333333338</v>
      </c>
    </row>
    <row r="29" spans="1:2">
      <c r="A29" t="s">
        <v>28</v>
      </c>
      <c r="B29" s="5">
        <v>5903712.25</v>
      </c>
    </row>
    <row r="30" spans="1:2">
      <c r="A30" t="s">
        <v>29</v>
      </c>
      <c r="B30" s="5">
        <v>5247035.6785714282</v>
      </c>
    </row>
    <row r="31" spans="1:2">
      <c r="A31" t="s">
        <v>30</v>
      </c>
      <c r="B31" s="5">
        <v>2577999.9629629632</v>
      </c>
    </row>
    <row r="32" spans="1:2">
      <c r="A32" t="s">
        <v>31</v>
      </c>
      <c r="B32" s="5">
        <v>4025664.03125</v>
      </c>
    </row>
    <row r="33" spans="1:2">
      <c r="A33" t="s">
        <v>32</v>
      </c>
      <c r="B33" s="5">
        <v>5659386.2068965519</v>
      </c>
    </row>
    <row r="34" spans="1:2">
      <c r="A34" t="s">
        <v>33</v>
      </c>
      <c r="B34" s="5">
        <v>6006454.2666666666</v>
      </c>
    </row>
    <row r="35" spans="1:2">
      <c r="A35" t="s">
        <v>34</v>
      </c>
      <c r="B35" s="5">
        <v>4537420.5530216647</v>
      </c>
    </row>
  </sheetData>
  <pageMargins left="0.7" right="0.7" top="0.75" bottom="0.75" header="0.3" footer="0.3"/>
  <pageSetup paperSize="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4E1B-8D1C-4BDF-8508-0310A421EB91}">
  <dimension ref="A3:F12"/>
  <sheetViews>
    <sheetView tabSelected="1" workbookViewId="0">
      <selection activeCell="A3" sqref="A3"/>
    </sheetView>
  </sheetViews>
  <sheetFormatPr defaultRowHeight="15"/>
  <cols>
    <col min="1" max="1" width="16.140625" bestFit="1" customWidth="1"/>
    <col min="2" max="2" width="16.42578125" bestFit="1" customWidth="1"/>
    <col min="4" max="4" width="24.28515625" bestFit="1" customWidth="1"/>
    <col min="6" max="6" width="12" customWidth="1"/>
  </cols>
  <sheetData>
    <row r="3" spans="1:6">
      <c r="A3" s="10" t="s">
        <v>35</v>
      </c>
      <c r="B3" t="s">
        <v>1</v>
      </c>
    </row>
    <row r="4" spans="1:6">
      <c r="A4" t="s">
        <v>36</v>
      </c>
      <c r="B4" s="5">
        <v>3511360.0273972601</v>
      </c>
    </row>
    <row r="5" spans="1:6">
      <c r="A5" s="12" t="s">
        <v>37</v>
      </c>
      <c r="B5" s="13">
        <v>12460182.5</v>
      </c>
      <c r="D5" s="11" t="s">
        <v>4</v>
      </c>
      <c r="F5" s="13">
        <f>MAX(B4:B11)</f>
        <v>12460182.5</v>
      </c>
    </row>
    <row r="6" spans="1:6">
      <c r="A6" t="s">
        <v>38</v>
      </c>
      <c r="B6" s="5">
        <v>8757558.9591836743</v>
      </c>
    </row>
    <row r="7" spans="1:6">
      <c r="A7" t="s">
        <v>39</v>
      </c>
      <c r="B7" s="5">
        <v>5199498.1643835614</v>
      </c>
    </row>
    <row r="8" spans="1:6">
      <c r="A8" t="s">
        <v>40</v>
      </c>
      <c r="B8" s="5">
        <v>3851994.4360086769</v>
      </c>
    </row>
    <row r="9" spans="1:6">
      <c r="A9" t="s">
        <v>41</v>
      </c>
      <c r="B9" s="5">
        <v>4928348.5102040814</v>
      </c>
    </row>
    <row r="10" spans="1:6">
      <c r="A10" t="s">
        <v>42</v>
      </c>
      <c r="B10" s="5">
        <v>3570414.0208333335</v>
      </c>
    </row>
    <row r="11" spans="1:6">
      <c r="A11" t="s">
        <v>43</v>
      </c>
      <c r="B11" s="5">
        <v>6029820.9333333336</v>
      </c>
    </row>
    <row r="12" spans="1:6">
      <c r="A12" t="s">
        <v>34</v>
      </c>
      <c r="B12" s="5">
        <v>4537420.5530216647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8"/>
  <sheetViews>
    <sheetView workbookViewId="0">
      <selection activeCell="P42" sqref="P42"/>
    </sheetView>
  </sheetViews>
  <sheetFormatPr defaultRowHeight="15" customHeight="1"/>
  <cols>
    <col min="1" max="1" width="23.5703125" customWidth="1"/>
    <col min="2" max="2" width="21.42578125" bestFit="1" customWidth="1"/>
    <col min="3" max="3" width="16.7109375" bestFit="1" customWidth="1"/>
    <col min="4" max="4" width="16.85546875" customWidth="1"/>
    <col min="5" max="5" width="10.28515625" customWidth="1"/>
    <col min="6" max="6" width="14.140625" customWidth="1"/>
    <col min="7" max="7" width="7.5703125" customWidth="1"/>
    <col min="8" max="8" width="5.7109375" customWidth="1"/>
    <col min="9" max="9" width="16.85546875" customWidth="1"/>
    <col min="10" max="10" width="27" customWidth="1"/>
    <col min="11" max="11" width="5.140625" customWidth="1"/>
    <col min="14" max="14" width="22.140625" customWidth="1"/>
    <col min="15" max="15" width="18.42578125" customWidth="1"/>
    <col min="16" max="16" width="13.7109375" customWidth="1"/>
    <col min="17" max="17" width="13.140625" customWidth="1"/>
    <col min="18" max="18" width="11.42578125" customWidth="1"/>
    <col min="19" max="19" width="12.42578125" customWidth="1"/>
    <col min="20" max="20" width="13" customWidth="1"/>
  </cols>
  <sheetData>
    <row r="1" spans="1:19" s="2" customFormat="1" ht="42" customHeight="1">
      <c r="A1" s="3" t="s">
        <v>44</v>
      </c>
      <c r="B1" s="3" t="s">
        <v>0</v>
      </c>
      <c r="C1" s="3" t="s">
        <v>35</v>
      </c>
      <c r="D1" s="8" t="s">
        <v>45</v>
      </c>
      <c r="E1" s="8" t="s">
        <v>46</v>
      </c>
      <c r="F1" s="6" t="s">
        <v>47</v>
      </c>
      <c r="G1" s="4"/>
      <c r="I1"/>
      <c r="J1"/>
    </row>
    <row r="2" spans="1:19" ht="14.45" customHeight="1">
      <c r="A2" s="1" t="s">
        <v>48</v>
      </c>
      <c r="B2" s="1" t="s">
        <v>17</v>
      </c>
      <c r="C2" s="1" t="s">
        <v>39</v>
      </c>
      <c r="D2" s="1">
        <v>3</v>
      </c>
      <c r="E2" s="1">
        <f t="shared" ref="E2:E65" si="0">D2*2</f>
        <v>6</v>
      </c>
      <c r="F2" s="7">
        <v>44083333</v>
      </c>
      <c r="G2" s="5"/>
      <c r="I2" s="18" t="s">
        <v>49</v>
      </c>
      <c r="J2" s="18"/>
      <c r="N2" t="s">
        <v>50</v>
      </c>
    </row>
    <row r="3" spans="1:19" ht="14.45">
      <c r="A3" s="1" t="s">
        <v>51</v>
      </c>
      <c r="B3" s="1" t="s">
        <v>16</v>
      </c>
      <c r="C3" s="1" t="s">
        <v>40</v>
      </c>
      <c r="D3" s="1">
        <v>4</v>
      </c>
      <c r="E3" s="1">
        <f t="shared" si="0"/>
        <v>8</v>
      </c>
      <c r="F3" s="7">
        <v>43000000</v>
      </c>
      <c r="G3" s="5"/>
      <c r="I3" s="16" t="s">
        <v>52</v>
      </c>
      <c r="J3" s="16"/>
    </row>
    <row r="4" spans="1:19" ht="14.45">
      <c r="A4" s="1" t="s">
        <v>53</v>
      </c>
      <c r="B4" s="1" t="s">
        <v>2</v>
      </c>
      <c r="C4" s="1" t="s">
        <v>40</v>
      </c>
      <c r="D4" s="1">
        <v>5</v>
      </c>
      <c r="E4" s="1">
        <f t="shared" si="0"/>
        <v>10</v>
      </c>
      <c r="F4" s="7">
        <v>32954483</v>
      </c>
      <c r="G4" s="5"/>
      <c r="I4" s="17"/>
      <c r="J4" s="17"/>
      <c r="N4" t="s">
        <v>54</v>
      </c>
    </row>
    <row r="5" spans="1:19" ht="14.45">
      <c r="A5" s="1" t="s">
        <v>55</v>
      </c>
      <c r="B5" s="1" t="s">
        <v>12</v>
      </c>
      <c r="C5" s="1" t="s">
        <v>38</v>
      </c>
      <c r="D5" s="1">
        <v>5</v>
      </c>
      <c r="E5" s="1">
        <f t="shared" si="0"/>
        <v>10</v>
      </c>
      <c r="F5" s="7">
        <v>30000000</v>
      </c>
      <c r="G5" s="5"/>
      <c r="I5" s="3" t="s">
        <v>56</v>
      </c>
      <c r="J5" s="7">
        <f>AVERAGE(F2:F878)</f>
        <v>4537420.5530216647</v>
      </c>
      <c r="N5" t="s">
        <v>57</v>
      </c>
      <c r="O5">
        <v>7.4451682622288698E-2</v>
      </c>
    </row>
    <row r="6" spans="1:19" ht="14.45">
      <c r="A6" s="1" t="s">
        <v>58</v>
      </c>
      <c r="B6" s="1" t="s">
        <v>6</v>
      </c>
      <c r="C6" s="1" t="s">
        <v>40</v>
      </c>
      <c r="D6" s="1">
        <v>6</v>
      </c>
      <c r="E6" s="1">
        <f t="shared" si="0"/>
        <v>12</v>
      </c>
      <c r="F6" s="7">
        <v>30000000</v>
      </c>
      <c r="G6" s="5"/>
      <c r="I6" s="3" t="s">
        <v>59</v>
      </c>
      <c r="J6" s="7">
        <f>MEDIAN(F2:F878)</f>
        <v>1450000</v>
      </c>
      <c r="N6" t="s">
        <v>60</v>
      </c>
      <c r="O6">
        <v>5.5430530452900096E-3</v>
      </c>
    </row>
    <row r="7" spans="1:19" ht="14.45">
      <c r="A7" s="1" t="s">
        <v>61</v>
      </c>
      <c r="B7" s="1" t="s">
        <v>24</v>
      </c>
      <c r="C7" s="1" t="s">
        <v>40</v>
      </c>
      <c r="D7" s="1">
        <v>8</v>
      </c>
      <c r="E7" s="1">
        <f t="shared" si="0"/>
        <v>16</v>
      </c>
      <c r="F7" s="7">
        <v>30000000</v>
      </c>
      <c r="G7" s="5"/>
      <c r="I7" s="3" t="s">
        <v>62</v>
      </c>
      <c r="J7" s="7">
        <f>MODE(F2:F878)</f>
        <v>545000</v>
      </c>
      <c r="N7" t="s">
        <v>63</v>
      </c>
      <c r="O7">
        <v>3.26740785775048E-3</v>
      </c>
    </row>
    <row r="8" spans="1:19" ht="14.45">
      <c r="A8" s="1" t="s">
        <v>64</v>
      </c>
      <c r="B8" s="1" t="s">
        <v>21</v>
      </c>
      <c r="C8" s="1" t="s">
        <v>39</v>
      </c>
      <c r="D8" s="1">
        <v>3</v>
      </c>
      <c r="E8" s="1">
        <f t="shared" si="0"/>
        <v>6</v>
      </c>
      <c r="F8" s="7">
        <v>29050000</v>
      </c>
      <c r="G8" s="5"/>
      <c r="N8" t="s">
        <v>65</v>
      </c>
      <c r="O8">
        <v>6352163.1324610095</v>
      </c>
    </row>
    <row r="9" spans="1:19" ht="14.45">
      <c r="A9" s="1" t="s">
        <v>66</v>
      </c>
      <c r="B9" s="1" t="s">
        <v>13</v>
      </c>
      <c r="C9" s="1" t="s">
        <v>40</v>
      </c>
      <c r="D9" s="1">
        <v>4</v>
      </c>
      <c r="E9" s="1">
        <f t="shared" si="0"/>
        <v>8</v>
      </c>
      <c r="F9" s="7">
        <v>28500000</v>
      </c>
      <c r="G9" s="5"/>
      <c r="N9" t="s">
        <v>67</v>
      </c>
      <c r="O9">
        <v>877</v>
      </c>
    </row>
    <row r="10" spans="1:19" ht="14.45">
      <c r="A10" s="1" t="s">
        <v>68</v>
      </c>
      <c r="B10" s="1" t="s">
        <v>7</v>
      </c>
      <c r="C10" s="1" t="s">
        <v>40</v>
      </c>
      <c r="D10" s="1">
        <v>8</v>
      </c>
      <c r="E10" s="1">
        <f t="shared" si="0"/>
        <v>16</v>
      </c>
      <c r="F10" s="7">
        <v>27500000</v>
      </c>
      <c r="G10" s="5"/>
      <c r="I10" s="18" t="s">
        <v>69</v>
      </c>
      <c r="J10" s="18"/>
    </row>
    <row r="11" spans="1:19" ht="14.45">
      <c r="A11" s="1" t="s">
        <v>70</v>
      </c>
      <c r="B11" s="1" t="s">
        <v>15</v>
      </c>
      <c r="C11" s="1" t="s">
        <v>38</v>
      </c>
      <c r="D11" s="1">
        <v>7</v>
      </c>
      <c r="E11" s="1">
        <f t="shared" si="0"/>
        <v>14</v>
      </c>
      <c r="F11" s="7">
        <v>28000000</v>
      </c>
      <c r="G11" s="5"/>
      <c r="I11" s="16" t="s">
        <v>71</v>
      </c>
      <c r="J11" s="16"/>
      <c r="N11" t="s">
        <v>72</v>
      </c>
    </row>
    <row r="12" spans="1:19" ht="14.45">
      <c r="A12" s="1" t="s">
        <v>73</v>
      </c>
      <c r="B12" s="1" t="s">
        <v>28</v>
      </c>
      <c r="C12" s="1" t="s">
        <v>40</v>
      </c>
      <c r="D12" s="1">
        <v>5</v>
      </c>
      <c r="E12" s="1">
        <f t="shared" si="0"/>
        <v>10</v>
      </c>
      <c r="F12" s="7">
        <v>26857143</v>
      </c>
      <c r="G12" s="5"/>
      <c r="I12" s="17"/>
      <c r="J12" s="17"/>
      <c r="O12" t="s">
        <v>74</v>
      </c>
      <c r="P12" t="s">
        <v>75</v>
      </c>
      <c r="Q12" t="s">
        <v>76</v>
      </c>
      <c r="R12" t="s">
        <v>77</v>
      </c>
      <c r="S12" t="s">
        <v>78</v>
      </c>
    </row>
    <row r="13" spans="1:19" ht="14.45">
      <c r="A13" s="1" t="s">
        <v>79</v>
      </c>
      <c r="B13" s="1" t="s">
        <v>7</v>
      </c>
      <c r="C13" s="1" t="s">
        <v>39</v>
      </c>
      <c r="D13" s="1">
        <v>4</v>
      </c>
      <c r="E13" s="1">
        <f t="shared" si="0"/>
        <v>8</v>
      </c>
      <c r="F13" s="7">
        <v>26055288</v>
      </c>
      <c r="G13" s="5"/>
      <c r="I13" s="3" t="s">
        <v>80</v>
      </c>
      <c r="J13" s="1">
        <f>VAR(F2:F878)</f>
        <v>40482248478174.023</v>
      </c>
      <c r="N13" t="s">
        <v>81</v>
      </c>
      <c r="O13">
        <v>2</v>
      </c>
      <c r="P13">
        <v>196570239619444</v>
      </c>
      <c r="Q13">
        <v>98285119809722</v>
      </c>
      <c r="R13">
        <v>2.4358160383005898</v>
      </c>
      <c r="S13">
        <v>8.81202780871677E-2</v>
      </c>
    </row>
    <row r="14" spans="1:19" ht="14.45">
      <c r="A14" s="1" t="s">
        <v>82</v>
      </c>
      <c r="B14" s="1" t="s">
        <v>22</v>
      </c>
      <c r="C14" s="1" t="s">
        <v>39</v>
      </c>
      <c r="D14" s="1">
        <v>3</v>
      </c>
      <c r="E14" s="1">
        <f t="shared" si="0"/>
        <v>6</v>
      </c>
      <c r="F14" s="7">
        <v>25070000</v>
      </c>
      <c r="G14" s="5"/>
      <c r="I14" s="3" t="s">
        <v>83</v>
      </c>
      <c r="J14" s="1">
        <f>_xlfn.STDEV.S(F2:F878)</f>
        <v>6362566.1865456477</v>
      </c>
      <c r="N14" t="s">
        <v>84</v>
      </c>
      <c r="O14">
        <v>874</v>
      </c>
      <c r="P14">
        <v>3.52658794272609E+16</v>
      </c>
      <c r="Q14">
        <v>40349976461396.898</v>
      </c>
    </row>
    <row r="15" spans="1:19" ht="14.45">
      <c r="A15" s="1" t="s">
        <v>85</v>
      </c>
      <c r="B15" s="1" t="s">
        <v>9</v>
      </c>
      <c r="C15" s="1" t="s">
        <v>38</v>
      </c>
      <c r="D15" s="1">
        <v>3</v>
      </c>
      <c r="E15" s="1">
        <f t="shared" si="0"/>
        <v>6</v>
      </c>
      <c r="F15" s="7">
        <v>25000000</v>
      </c>
      <c r="G15" s="5"/>
      <c r="I15" s="2"/>
      <c r="N15" t="s">
        <v>86</v>
      </c>
      <c r="O15">
        <v>876</v>
      </c>
      <c r="P15">
        <v>3.54624496668803E+16</v>
      </c>
    </row>
    <row r="16" spans="1:19" ht="14.45">
      <c r="A16" s="1" t="s">
        <v>87</v>
      </c>
      <c r="B16" s="1" t="s">
        <v>7</v>
      </c>
      <c r="C16" s="1" t="s">
        <v>40</v>
      </c>
      <c r="D16" s="1">
        <v>2</v>
      </c>
      <c r="E16" s="1">
        <f t="shared" si="0"/>
        <v>4</v>
      </c>
      <c r="F16" s="7">
        <v>25000000</v>
      </c>
      <c r="G16" s="5"/>
    </row>
    <row r="17" spans="1:20" ht="14.45">
      <c r="A17" s="1" t="s">
        <v>88</v>
      </c>
      <c r="B17" s="1" t="s">
        <v>28</v>
      </c>
      <c r="C17" s="1" t="s">
        <v>41</v>
      </c>
      <c r="D17" s="1">
        <v>5</v>
      </c>
      <c r="E17" s="1">
        <f t="shared" si="0"/>
        <v>10</v>
      </c>
      <c r="F17" s="7">
        <v>24000000</v>
      </c>
      <c r="G17" s="5"/>
      <c r="I17" s="18" t="s">
        <v>89</v>
      </c>
      <c r="J17" s="18"/>
      <c r="O17" t="s">
        <v>90</v>
      </c>
      <c r="P17" t="s">
        <v>65</v>
      </c>
      <c r="Q17" t="s">
        <v>91</v>
      </c>
      <c r="R17" t="s">
        <v>92</v>
      </c>
      <c r="S17" t="s">
        <v>93</v>
      </c>
      <c r="T17" t="s">
        <v>94</v>
      </c>
    </row>
    <row r="18" spans="1:20" ht="14.45">
      <c r="A18" s="1" t="s">
        <v>95</v>
      </c>
      <c r="B18" s="1" t="s">
        <v>12</v>
      </c>
      <c r="C18" s="1" t="s">
        <v>40</v>
      </c>
      <c r="D18" s="1">
        <v>7</v>
      </c>
      <c r="E18" s="1">
        <f t="shared" si="0"/>
        <v>14</v>
      </c>
      <c r="F18" s="7">
        <v>24000000</v>
      </c>
      <c r="G18" s="5"/>
      <c r="I18" s="16" t="s">
        <v>96</v>
      </c>
      <c r="J18" s="16"/>
      <c r="N18" t="s">
        <v>97</v>
      </c>
      <c r="O18">
        <v>4379971.1918925904</v>
      </c>
      <c r="P18">
        <v>469535.90392869199</v>
      </c>
      <c r="Q18">
        <v>9.3282987631927003</v>
      </c>
      <c r="R18" s="15">
        <v>8.6052969405875502E-20</v>
      </c>
      <c r="S18">
        <v>3458421.56749315</v>
      </c>
      <c r="T18">
        <v>5301520.8162920196</v>
      </c>
    </row>
    <row r="19" spans="1:20" ht="14.45">
      <c r="A19" s="1" t="s">
        <v>98</v>
      </c>
      <c r="B19" s="1" t="s">
        <v>6</v>
      </c>
      <c r="C19" s="1" t="s">
        <v>39</v>
      </c>
      <c r="D19" s="1">
        <v>3</v>
      </c>
      <c r="E19" s="1">
        <f t="shared" si="0"/>
        <v>6</v>
      </c>
      <c r="F19" s="7">
        <v>23750000</v>
      </c>
      <c r="G19" s="5"/>
      <c r="I19" s="17"/>
      <c r="J19" s="17"/>
      <c r="N19" t="s">
        <v>45</v>
      </c>
      <c r="O19">
        <v>-1539147.57773035</v>
      </c>
      <c r="P19">
        <v>702636.16559542099</v>
      </c>
      <c r="Q19">
        <v>-2.19053281498265</v>
      </c>
      <c r="R19">
        <v>2.8749111841027099E-2</v>
      </c>
      <c r="S19">
        <v>-2918198.86875208</v>
      </c>
      <c r="T19">
        <v>-160096.28670862599</v>
      </c>
    </row>
    <row r="20" spans="1:20" ht="14.45">
      <c r="A20" s="1" t="s">
        <v>99</v>
      </c>
      <c r="B20" s="1" t="s">
        <v>20</v>
      </c>
      <c r="C20" s="1" t="s">
        <v>38</v>
      </c>
      <c r="D20" s="1">
        <v>7</v>
      </c>
      <c r="E20" s="1">
        <f t="shared" si="0"/>
        <v>14</v>
      </c>
      <c r="F20" s="7">
        <v>23000000</v>
      </c>
      <c r="G20" s="5"/>
      <c r="I20" s="3" t="s">
        <v>100</v>
      </c>
      <c r="J20" s="7">
        <f>MIN(F2:F878)</f>
        <v>545000</v>
      </c>
      <c r="N20" t="s">
        <v>46</v>
      </c>
      <c r="O20">
        <v>794530.83957542398</v>
      </c>
      <c r="P20">
        <v>360001.07647659403</v>
      </c>
      <c r="Q20">
        <v>2.2070235104618598</v>
      </c>
      <c r="R20">
        <v>2.7571662877126198E-2</v>
      </c>
      <c r="S20">
        <v>87963.239452600305</v>
      </c>
      <c r="T20">
        <v>1501098.43969824</v>
      </c>
    </row>
    <row r="21" spans="1:20" ht="14.45">
      <c r="A21" s="1" t="s">
        <v>101</v>
      </c>
      <c r="B21" s="1" t="s">
        <v>32</v>
      </c>
      <c r="C21" s="1" t="s">
        <v>43</v>
      </c>
      <c r="D21" s="1">
        <v>7</v>
      </c>
      <c r="E21" s="1">
        <f t="shared" si="0"/>
        <v>14</v>
      </c>
      <c r="F21" s="7">
        <v>23000000</v>
      </c>
      <c r="G21" s="5"/>
      <c r="I21" s="3" t="s">
        <v>102</v>
      </c>
      <c r="J21" s="7">
        <f>MAX(F2:F878)</f>
        <v>44083333</v>
      </c>
    </row>
    <row r="22" spans="1:20" ht="14.45">
      <c r="A22" s="1" t="s">
        <v>103</v>
      </c>
      <c r="B22" s="1" t="s">
        <v>6</v>
      </c>
      <c r="C22" s="1" t="s">
        <v>38</v>
      </c>
      <c r="D22" s="1">
        <v>8</v>
      </c>
      <c r="E22" s="1">
        <f t="shared" si="0"/>
        <v>16</v>
      </c>
      <c r="F22" s="7">
        <v>22750000</v>
      </c>
      <c r="G22" s="5"/>
      <c r="I22" s="2"/>
    </row>
    <row r="23" spans="1:20" ht="14.45">
      <c r="A23" s="1" t="s">
        <v>104</v>
      </c>
      <c r="B23" s="1" t="s">
        <v>27</v>
      </c>
      <c r="C23" s="1" t="s">
        <v>40</v>
      </c>
      <c r="D23" s="1">
        <v>4</v>
      </c>
      <c r="E23" s="1">
        <f t="shared" si="0"/>
        <v>8</v>
      </c>
      <c r="F23" s="7">
        <v>22666666</v>
      </c>
      <c r="G23" s="5"/>
    </row>
    <row r="24" spans="1:20" ht="14.45">
      <c r="A24" s="1" t="s">
        <v>105</v>
      </c>
      <c r="B24" s="1" t="s">
        <v>31</v>
      </c>
      <c r="C24" s="1" t="s">
        <v>40</v>
      </c>
      <c r="D24" s="1">
        <v>5</v>
      </c>
      <c r="E24" s="1">
        <f t="shared" si="0"/>
        <v>10</v>
      </c>
      <c r="F24" s="7">
        <v>22500000</v>
      </c>
      <c r="G24" s="5"/>
      <c r="I24" s="18" t="s">
        <v>106</v>
      </c>
      <c r="J24" s="18"/>
    </row>
    <row r="25" spans="1:20" ht="14.45">
      <c r="A25" s="1" t="s">
        <v>107</v>
      </c>
      <c r="B25" s="1" t="s">
        <v>21</v>
      </c>
      <c r="C25" s="1" t="s">
        <v>38</v>
      </c>
      <c r="D25" s="1">
        <v>6</v>
      </c>
      <c r="E25" s="1">
        <f t="shared" si="0"/>
        <v>12</v>
      </c>
      <c r="F25" s="7">
        <v>22357142</v>
      </c>
      <c r="G25" s="5"/>
      <c r="I25" s="19" t="s">
        <v>108</v>
      </c>
      <c r="J25" s="19"/>
    </row>
    <row r="26" spans="1:20" ht="14.45">
      <c r="A26" s="1" t="s">
        <v>109</v>
      </c>
      <c r="B26" s="1" t="s">
        <v>27</v>
      </c>
      <c r="C26" s="1" t="s">
        <v>36</v>
      </c>
      <c r="D26" s="1">
        <v>2</v>
      </c>
      <c r="E26" s="1">
        <f t="shared" si="0"/>
        <v>4</v>
      </c>
      <c r="F26" s="7">
        <v>22177778</v>
      </c>
      <c r="G26" s="5"/>
      <c r="I26" s="20"/>
      <c r="J26" s="20"/>
    </row>
    <row r="27" spans="1:20" ht="14.45">
      <c r="A27" s="1" t="s">
        <v>110</v>
      </c>
      <c r="B27" s="1" t="s">
        <v>33</v>
      </c>
      <c r="C27" s="1" t="s">
        <v>40</v>
      </c>
      <c r="D27" s="1">
        <v>4</v>
      </c>
      <c r="E27" s="1">
        <f t="shared" si="0"/>
        <v>8</v>
      </c>
      <c r="F27" s="7">
        <v>22142857</v>
      </c>
      <c r="G27" s="5"/>
      <c r="I27" s="3" t="s">
        <v>111</v>
      </c>
      <c r="J27" s="9">
        <f>QUARTILE(F2:F878,1)</f>
        <v>557471</v>
      </c>
    </row>
    <row r="28" spans="1:20" ht="14.45">
      <c r="A28" s="1" t="s">
        <v>112</v>
      </c>
      <c r="B28" s="1" t="s">
        <v>22</v>
      </c>
      <c r="C28" s="1" t="s">
        <v>40</v>
      </c>
      <c r="D28" s="1">
        <v>5</v>
      </c>
      <c r="E28" s="1">
        <f t="shared" si="0"/>
        <v>10</v>
      </c>
      <c r="F28" s="7">
        <v>22000000</v>
      </c>
      <c r="G28" s="5"/>
      <c r="I28" s="3" t="s">
        <v>113</v>
      </c>
      <c r="J28" s="9">
        <f>QUARTILE(F2:F878,2)</f>
        <v>1450000</v>
      </c>
    </row>
    <row r="29" spans="1:20" ht="14.45">
      <c r="A29" s="1" t="s">
        <v>114</v>
      </c>
      <c r="B29" s="1" t="s">
        <v>11</v>
      </c>
      <c r="C29" s="1" t="s">
        <v>38</v>
      </c>
      <c r="D29" s="1">
        <v>6</v>
      </c>
      <c r="E29" s="1">
        <f t="shared" si="0"/>
        <v>12</v>
      </c>
      <c r="F29" s="7">
        <v>22000000</v>
      </c>
      <c r="G29" s="5"/>
      <c r="I29" s="3" t="s">
        <v>115</v>
      </c>
      <c r="J29" s="9">
        <f>QUARTILE(F2:F878,3)</f>
        <v>6000000</v>
      </c>
    </row>
    <row r="30" spans="1:20" ht="14.45">
      <c r="A30" s="1" t="s">
        <v>116</v>
      </c>
      <c r="B30" s="1" t="s">
        <v>29</v>
      </c>
      <c r="C30" s="1" t="s">
        <v>36</v>
      </c>
      <c r="D30" s="1">
        <v>2</v>
      </c>
      <c r="E30" s="1">
        <f t="shared" si="0"/>
        <v>4</v>
      </c>
      <c r="F30" s="7">
        <v>22000000</v>
      </c>
      <c r="G30" s="5"/>
      <c r="I30" s="3" t="s">
        <v>117</v>
      </c>
      <c r="J30" s="9">
        <f>PERCENTILE(F2:F878,0.01)</f>
        <v>545000</v>
      </c>
    </row>
    <row r="31" spans="1:20" ht="14.45">
      <c r="A31" s="1" t="s">
        <v>118</v>
      </c>
      <c r="B31" s="1" t="s">
        <v>22</v>
      </c>
      <c r="C31" s="1" t="s">
        <v>39</v>
      </c>
      <c r="D31" s="1">
        <v>1</v>
      </c>
      <c r="E31" s="1">
        <f t="shared" si="0"/>
        <v>2</v>
      </c>
      <c r="F31" s="7">
        <v>21857142</v>
      </c>
      <c r="G31" s="5"/>
      <c r="I31" s="3" t="s">
        <v>119</v>
      </c>
      <c r="J31" s="9">
        <f>PERCENTILE(F2:F878,0.05)</f>
        <v>545320</v>
      </c>
    </row>
    <row r="32" spans="1:20" ht="14.45">
      <c r="A32" s="1" t="s">
        <v>120</v>
      </c>
      <c r="B32" s="1" t="s">
        <v>26</v>
      </c>
      <c r="C32" s="1" t="s">
        <v>38</v>
      </c>
      <c r="D32" s="1">
        <v>8</v>
      </c>
      <c r="E32" s="1">
        <f t="shared" si="0"/>
        <v>16</v>
      </c>
      <c r="F32" s="7">
        <v>21625000</v>
      </c>
      <c r="G32" s="5"/>
      <c r="I32" s="3" t="s">
        <v>121</v>
      </c>
      <c r="J32" s="9">
        <f>PERCENTILE(F2:F878,0.5)</f>
        <v>1450000</v>
      </c>
    </row>
    <row r="33" spans="1:10" ht="14.45">
      <c r="A33" s="1" t="s">
        <v>122</v>
      </c>
      <c r="B33" s="1" t="s">
        <v>33</v>
      </c>
      <c r="C33" s="1" t="s">
        <v>39</v>
      </c>
      <c r="D33" s="1">
        <v>2</v>
      </c>
      <c r="E33" s="1">
        <f t="shared" si="0"/>
        <v>4</v>
      </c>
      <c r="F33" s="7">
        <v>21625000</v>
      </c>
      <c r="G33" s="5"/>
      <c r="I33" s="3" t="s">
        <v>123</v>
      </c>
      <c r="J33" s="9">
        <f>PERCENTILE(F2:F878,0.75)</f>
        <v>6000000</v>
      </c>
    </row>
    <row r="34" spans="1:10" ht="14.45">
      <c r="A34" s="1" t="s">
        <v>124</v>
      </c>
      <c r="B34" s="1" t="s">
        <v>16</v>
      </c>
      <c r="C34" s="1" t="s">
        <v>39</v>
      </c>
      <c r="D34" s="1">
        <v>5</v>
      </c>
      <c r="E34" s="1">
        <f t="shared" si="0"/>
        <v>10</v>
      </c>
      <c r="F34" s="7">
        <v>21500000</v>
      </c>
      <c r="G34" s="5"/>
      <c r="I34" s="3" t="s">
        <v>125</v>
      </c>
      <c r="J34" s="9">
        <f>PERCENTILE(F2:F878,0.95)</f>
        <v>19519999.999999993</v>
      </c>
    </row>
    <row r="35" spans="1:10" ht="14.45">
      <c r="A35" s="1" t="s">
        <v>126</v>
      </c>
      <c r="B35" s="1" t="s">
        <v>3</v>
      </c>
      <c r="C35" s="1" t="s">
        <v>38</v>
      </c>
      <c r="D35" s="1">
        <v>2</v>
      </c>
      <c r="E35" s="1">
        <f t="shared" si="0"/>
        <v>4</v>
      </c>
      <c r="F35" s="7">
        <v>21359375</v>
      </c>
      <c r="G35" s="5"/>
      <c r="I35" s="3" t="s">
        <v>127</v>
      </c>
      <c r="J35" s="9">
        <f>PERCENTILE(F2:F878,0.99)</f>
        <v>27620000.000000004</v>
      </c>
    </row>
    <row r="36" spans="1:10" ht="14.45">
      <c r="A36" s="1" t="s">
        <v>128</v>
      </c>
      <c r="B36" s="1" t="s">
        <v>8</v>
      </c>
      <c r="C36" s="1" t="s">
        <v>40</v>
      </c>
      <c r="D36" s="1">
        <v>8</v>
      </c>
      <c r="E36" s="1">
        <f t="shared" si="0"/>
        <v>16</v>
      </c>
      <c r="F36" s="7">
        <v>21250000</v>
      </c>
      <c r="G36" s="5"/>
    </row>
    <row r="37" spans="1:10" ht="14.45">
      <c r="A37" s="1" t="s">
        <v>129</v>
      </c>
      <c r="B37" s="1" t="s">
        <v>5</v>
      </c>
      <c r="C37" s="1" t="s">
        <v>38</v>
      </c>
      <c r="D37" s="1">
        <v>5</v>
      </c>
      <c r="E37" s="1">
        <f t="shared" si="0"/>
        <v>10</v>
      </c>
      <c r="F37" s="7">
        <v>21169326</v>
      </c>
      <c r="G37" s="5"/>
    </row>
    <row r="38" spans="1:10" ht="14.45">
      <c r="A38" s="1" t="s">
        <v>130</v>
      </c>
      <c r="B38" s="1" t="s">
        <v>6</v>
      </c>
      <c r="C38" s="1" t="s">
        <v>40</v>
      </c>
      <c r="D38" s="1">
        <v>2</v>
      </c>
      <c r="E38" s="1">
        <f t="shared" si="0"/>
        <v>4</v>
      </c>
      <c r="F38" s="7">
        <v>21125000</v>
      </c>
      <c r="G38" s="5"/>
    </row>
    <row r="39" spans="1:10" ht="14.45">
      <c r="A39" s="1" t="s">
        <v>131</v>
      </c>
      <c r="B39" s="1" t="s">
        <v>9</v>
      </c>
      <c r="C39" s="1" t="s">
        <v>40</v>
      </c>
      <c r="D39" s="1">
        <v>2</v>
      </c>
      <c r="E39" s="1">
        <f t="shared" si="0"/>
        <v>4</v>
      </c>
      <c r="F39" s="7">
        <v>21000000</v>
      </c>
      <c r="G39" s="5"/>
    </row>
    <row r="40" spans="1:10" ht="14.45">
      <c r="A40" s="1" t="s">
        <v>132</v>
      </c>
      <c r="B40" s="1" t="s">
        <v>14</v>
      </c>
      <c r="C40" s="1" t="s">
        <v>39</v>
      </c>
      <c r="D40" s="1">
        <v>2</v>
      </c>
      <c r="E40" s="1">
        <f t="shared" si="0"/>
        <v>4</v>
      </c>
      <c r="F40" s="7">
        <v>21000000</v>
      </c>
      <c r="G40" s="5"/>
    </row>
    <row r="41" spans="1:10" ht="14.45">
      <c r="A41" s="1" t="s">
        <v>133</v>
      </c>
      <c r="B41" s="1" t="s">
        <v>32</v>
      </c>
      <c r="C41" s="1" t="s">
        <v>42</v>
      </c>
      <c r="D41" s="1">
        <v>5</v>
      </c>
      <c r="E41" s="1">
        <f t="shared" si="0"/>
        <v>10</v>
      </c>
      <c r="F41" s="7">
        <v>20000000</v>
      </c>
      <c r="G41" s="5"/>
    </row>
    <row r="42" spans="1:10" ht="14.45">
      <c r="A42" s="1" t="s">
        <v>134</v>
      </c>
      <c r="B42" s="1" t="s">
        <v>31</v>
      </c>
      <c r="C42" s="1" t="s">
        <v>39</v>
      </c>
      <c r="D42" s="1">
        <v>6</v>
      </c>
      <c r="E42" s="1">
        <f t="shared" si="0"/>
        <v>12</v>
      </c>
      <c r="F42" s="7">
        <v>20000000</v>
      </c>
      <c r="G42" s="5"/>
    </row>
    <row r="43" spans="1:10" ht="14.45">
      <c r="A43" s="1" t="s">
        <v>135</v>
      </c>
      <c r="B43" s="1" t="s">
        <v>32</v>
      </c>
      <c r="C43" s="1" t="s">
        <v>36</v>
      </c>
      <c r="D43" s="1">
        <v>8</v>
      </c>
      <c r="E43" s="1">
        <f t="shared" si="0"/>
        <v>16</v>
      </c>
      <c r="F43" s="7">
        <v>20000000</v>
      </c>
      <c r="G43" s="5"/>
    </row>
    <row r="44" spans="1:10" ht="14.45">
      <c r="A44" s="1" t="s">
        <v>136</v>
      </c>
      <c r="B44" s="1" t="s">
        <v>27</v>
      </c>
      <c r="C44" s="1" t="s">
        <v>40</v>
      </c>
      <c r="D44" s="1">
        <v>4</v>
      </c>
      <c r="E44" s="1">
        <f t="shared" si="0"/>
        <v>8</v>
      </c>
      <c r="F44" s="7">
        <v>19800000</v>
      </c>
      <c r="G44" s="5"/>
    </row>
    <row r="45" spans="1:10" ht="14.45">
      <c r="A45" s="1" t="s">
        <v>137</v>
      </c>
      <c r="B45" s="1" t="s">
        <v>27</v>
      </c>
      <c r="C45" s="1" t="s">
        <v>43</v>
      </c>
      <c r="D45" s="1">
        <v>5</v>
      </c>
      <c r="E45" s="1">
        <f t="shared" si="0"/>
        <v>10</v>
      </c>
      <c r="F45" s="7">
        <v>19600000</v>
      </c>
      <c r="G45" s="5"/>
    </row>
    <row r="46" spans="1:10" ht="14.45">
      <c r="A46" s="1" t="s">
        <v>138</v>
      </c>
      <c r="B46" s="1" t="s">
        <v>29</v>
      </c>
      <c r="C46" s="1" t="s">
        <v>40</v>
      </c>
      <c r="D46" s="1">
        <v>4</v>
      </c>
      <c r="E46" s="1">
        <f t="shared" si="0"/>
        <v>8</v>
      </c>
      <c r="F46" s="7">
        <v>19500000</v>
      </c>
      <c r="G46" s="5"/>
    </row>
    <row r="47" spans="1:10" ht="14.45">
      <c r="A47" s="1" t="s">
        <v>139</v>
      </c>
      <c r="B47" s="1" t="s">
        <v>21</v>
      </c>
      <c r="C47" s="1" t="s">
        <v>43</v>
      </c>
      <c r="D47" s="1">
        <v>3</v>
      </c>
      <c r="E47" s="1">
        <f t="shared" si="0"/>
        <v>6</v>
      </c>
      <c r="F47" s="7">
        <v>19399744</v>
      </c>
      <c r="G47" s="5"/>
    </row>
    <row r="48" spans="1:10" ht="14.45">
      <c r="A48" s="1" t="s">
        <v>140</v>
      </c>
      <c r="B48" s="1" t="s">
        <v>19</v>
      </c>
      <c r="C48" s="1" t="s">
        <v>39</v>
      </c>
      <c r="D48" s="1">
        <v>3</v>
      </c>
      <c r="E48" s="1">
        <f t="shared" si="0"/>
        <v>6</v>
      </c>
      <c r="F48" s="7">
        <v>19088823</v>
      </c>
      <c r="G48" s="5"/>
    </row>
    <row r="49" spans="1:7" ht="14.45">
      <c r="A49" s="1" t="s">
        <v>141</v>
      </c>
      <c r="B49" s="1" t="s">
        <v>28</v>
      </c>
      <c r="C49" s="1" t="s">
        <v>43</v>
      </c>
      <c r="D49" s="1">
        <v>1</v>
      </c>
      <c r="E49" s="1">
        <f t="shared" si="0"/>
        <v>2</v>
      </c>
      <c r="F49" s="7">
        <v>19000000</v>
      </c>
      <c r="G49" s="5"/>
    </row>
    <row r="50" spans="1:7" ht="14.45">
      <c r="A50" s="1" t="s">
        <v>142</v>
      </c>
      <c r="B50" s="1" t="s">
        <v>27</v>
      </c>
      <c r="C50" s="1" t="s">
        <v>39</v>
      </c>
      <c r="D50" s="1">
        <v>2</v>
      </c>
      <c r="E50" s="1">
        <f t="shared" si="0"/>
        <v>4</v>
      </c>
      <c r="F50" s="7">
        <v>18700000</v>
      </c>
      <c r="G50" s="5"/>
    </row>
    <row r="51" spans="1:7" ht="14.45">
      <c r="A51" s="1" t="s">
        <v>143</v>
      </c>
      <c r="B51" s="1" t="s">
        <v>10</v>
      </c>
      <c r="C51" s="1" t="s">
        <v>37</v>
      </c>
      <c r="D51" s="1">
        <v>1</v>
      </c>
      <c r="E51" s="1">
        <f t="shared" si="0"/>
        <v>2</v>
      </c>
      <c r="F51" s="7">
        <v>18666667</v>
      </c>
      <c r="G51" s="5"/>
    </row>
    <row r="52" spans="1:7" ht="14.45">
      <c r="A52" s="1" t="s">
        <v>144</v>
      </c>
      <c r="B52" s="1" t="s">
        <v>24</v>
      </c>
      <c r="C52" s="1" t="s">
        <v>38</v>
      </c>
      <c r="D52" s="1">
        <v>3</v>
      </c>
      <c r="E52" s="1">
        <f t="shared" si="0"/>
        <v>6</v>
      </c>
      <c r="F52" s="7">
        <v>18500000</v>
      </c>
      <c r="G52" s="5"/>
    </row>
    <row r="53" spans="1:7" ht="14.45">
      <c r="A53" s="1" t="s">
        <v>145</v>
      </c>
      <c r="B53" s="1" t="s">
        <v>28</v>
      </c>
      <c r="C53" s="1" t="s">
        <v>40</v>
      </c>
      <c r="D53" s="1">
        <v>4</v>
      </c>
      <c r="E53" s="1">
        <f t="shared" si="0"/>
        <v>8</v>
      </c>
      <c r="F53" s="7">
        <v>18000000</v>
      </c>
      <c r="G53" s="5"/>
    </row>
    <row r="54" spans="1:7" ht="14.45">
      <c r="A54" s="1" t="s">
        <v>146</v>
      </c>
      <c r="B54" s="1" t="s">
        <v>12</v>
      </c>
      <c r="C54" s="1" t="s">
        <v>37</v>
      </c>
      <c r="D54" s="1">
        <v>2</v>
      </c>
      <c r="E54" s="1">
        <f t="shared" si="0"/>
        <v>4</v>
      </c>
      <c r="F54" s="7">
        <v>18000000</v>
      </c>
      <c r="G54" s="5"/>
    </row>
    <row r="55" spans="1:7" ht="14.45">
      <c r="A55" s="1" t="s">
        <v>147</v>
      </c>
      <c r="B55" s="1" t="s">
        <v>31</v>
      </c>
      <c r="C55" s="1" t="s">
        <v>43</v>
      </c>
      <c r="D55" s="1">
        <v>2</v>
      </c>
      <c r="E55" s="1">
        <f t="shared" si="0"/>
        <v>4</v>
      </c>
      <c r="F55" s="7">
        <v>18000000</v>
      </c>
      <c r="G55" s="5"/>
    </row>
    <row r="56" spans="1:7" ht="14.45">
      <c r="A56" s="1" t="s">
        <v>148</v>
      </c>
      <c r="B56" s="1" t="s">
        <v>11</v>
      </c>
      <c r="C56" s="1" t="s">
        <v>43</v>
      </c>
      <c r="D56" s="1">
        <v>4</v>
      </c>
      <c r="E56" s="1">
        <f t="shared" si="0"/>
        <v>8</v>
      </c>
      <c r="F56" s="7">
        <v>17750000</v>
      </c>
      <c r="G56" s="5"/>
    </row>
    <row r="57" spans="1:7" ht="14.45">
      <c r="A57" s="1" t="s">
        <v>149</v>
      </c>
      <c r="B57" s="1" t="s">
        <v>15</v>
      </c>
      <c r="C57" s="1" t="s">
        <v>39</v>
      </c>
      <c r="D57" s="1">
        <v>2</v>
      </c>
      <c r="E57" s="1">
        <f t="shared" si="0"/>
        <v>4</v>
      </c>
      <c r="F57" s="7">
        <v>17700000</v>
      </c>
      <c r="G57" s="5"/>
    </row>
    <row r="58" spans="1:7" ht="14.45">
      <c r="A58" s="1" t="s">
        <v>150</v>
      </c>
      <c r="B58" s="1" t="s">
        <v>33</v>
      </c>
      <c r="C58" s="1" t="s">
        <v>41</v>
      </c>
      <c r="D58" s="1">
        <v>3</v>
      </c>
      <c r="E58" s="1">
        <f t="shared" si="0"/>
        <v>6</v>
      </c>
      <c r="F58" s="7">
        <v>17500000</v>
      </c>
      <c r="G58" s="5"/>
    </row>
    <row r="59" spans="1:7" ht="14.45">
      <c r="A59" s="1" t="s">
        <v>151</v>
      </c>
      <c r="B59" s="1" t="s">
        <v>5</v>
      </c>
      <c r="C59" s="1" t="s">
        <v>39</v>
      </c>
      <c r="D59" s="1">
        <v>3</v>
      </c>
      <c r="E59" s="1">
        <f t="shared" si="0"/>
        <v>6</v>
      </c>
      <c r="F59" s="7">
        <v>17393152</v>
      </c>
      <c r="G59" s="5"/>
    </row>
    <row r="60" spans="1:7" ht="14.45">
      <c r="A60" s="1" t="s">
        <v>152</v>
      </c>
      <c r="B60" s="1" t="s">
        <v>22</v>
      </c>
      <c r="C60" s="1" t="s">
        <v>40</v>
      </c>
      <c r="D60" s="1">
        <v>4</v>
      </c>
      <c r="E60" s="1">
        <f t="shared" si="0"/>
        <v>8</v>
      </c>
      <c r="F60" s="7">
        <v>17200000</v>
      </c>
      <c r="G60" s="5"/>
    </row>
    <row r="61" spans="1:7" ht="14.45">
      <c r="A61" s="1" t="s">
        <v>153</v>
      </c>
      <c r="B61" s="1" t="s">
        <v>27</v>
      </c>
      <c r="C61" s="1" t="s">
        <v>38</v>
      </c>
      <c r="D61" s="1">
        <v>6</v>
      </c>
      <c r="E61" s="1">
        <f t="shared" si="0"/>
        <v>12</v>
      </c>
      <c r="F61" s="7">
        <v>17200000</v>
      </c>
      <c r="G61" s="5"/>
    </row>
    <row r="62" spans="1:7" ht="14.45">
      <c r="A62" s="1" t="s">
        <v>154</v>
      </c>
      <c r="B62" s="1" t="s">
        <v>13</v>
      </c>
      <c r="C62" s="1" t="s">
        <v>36</v>
      </c>
      <c r="D62" s="1">
        <v>2</v>
      </c>
      <c r="E62" s="1">
        <f t="shared" si="0"/>
        <v>4</v>
      </c>
      <c r="F62" s="7">
        <v>17000000</v>
      </c>
      <c r="G62" s="5"/>
    </row>
    <row r="63" spans="1:7" ht="14.45">
      <c r="A63" s="1" t="s">
        <v>155</v>
      </c>
      <c r="B63" s="1" t="s">
        <v>16</v>
      </c>
      <c r="C63" s="1" t="s">
        <v>40</v>
      </c>
      <c r="D63" s="1">
        <v>4</v>
      </c>
      <c r="E63" s="1">
        <f t="shared" si="0"/>
        <v>8</v>
      </c>
      <c r="F63" s="7">
        <v>16666667</v>
      </c>
      <c r="G63" s="5"/>
    </row>
    <row r="64" spans="1:7" ht="14.45">
      <c r="A64" s="1" t="s">
        <v>156</v>
      </c>
      <c r="B64" s="1" t="s">
        <v>29</v>
      </c>
      <c r="C64" s="1" t="s">
        <v>39</v>
      </c>
      <c r="D64" s="1">
        <v>6</v>
      </c>
      <c r="E64" s="1">
        <f t="shared" si="0"/>
        <v>12</v>
      </c>
      <c r="F64" s="7">
        <v>16500000</v>
      </c>
      <c r="G64" s="5"/>
    </row>
    <row r="65" spans="1:7" ht="14.45">
      <c r="A65" s="1" t="s">
        <v>157</v>
      </c>
      <c r="B65" s="1" t="s">
        <v>7</v>
      </c>
      <c r="C65" s="1" t="s">
        <v>41</v>
      </c>
      <c r="D65" s="1">
        <v>1</v>
      </c>
      <c r="E65" s="1">
        <f t="shared" si="0"/>
        <v>2</v>
      </c>
      <c r="F65" s="7">
        <v>16500000</v>
      </c>
      <c r="G65" s="5"/>
    </row>
    <row r="66" spans="1:7" ht="14.45">
      <c r="A66" s="1" t="s">
        <v>158</v>
      </c>
      <c r="B66" s="1" t="s">
        <v>33</v>
      </c>
      <c r="C66" s="1" t="s">
        <v>40</v>
      </c>
      <c r="D66" s="1">
        <v>2</v>
      </c>
      <c r="E66" s="1">
        <f t="shared" ref="E66:E129" si="1">D66*2</f>
        <v>4</v>
      </c>
      <c r="F66" s="7">
        <v>16428571</v>
      </c>
      <c r="G66" s="5"/>
    </row>
    <row r="67" spans="1:7" ht="14.45">
      <c r="A67" s="1" t="s">
        <v>159</v>
      </c>
      <c r="B67" s="1" t="s">
        <v>11</v>
      </c>
      <c r="C67" s="1" t="s">
        <v>40</v>
      </c>
      <c r="D67" s="1">
        <v>3</v>
      </c>
      <c r="E67" s="1">
        <f t="shared" si="1"/>
        <v>6</v>
      </c>
      <c r="F67" s="7">
        <v>16333333</v>
      </c>
      <c r="G67" s="5"/>
    </row>
    <row r="68" spans="1:7" ht="14.45">
      <c r="A68" s="1" t="s">
        <v>160</v>
      </c>
      <c r="B68" s="1" t="s">
        <v>14</v>
      </c>
      <c r="C68" s="1" t="s">
        <v>40</v>
      </c>
      <c r="D68" s="1">
        <v>1</v>
      </c>
      <c r="E68" s="1">
        <f t="shared" si="1"/>
        <v>2</v>
      </c>
      <c r="F68" s="7">
        <v>16000000</v>
      </c>
      <c r="G68" s="5"/>
    </row>
    <row r="69" spans="1:7" ht="14.45">
      <c r="A69" s="1" t="s">
        <v>161</v>
      </c>
      <c r="B69" s="1" t="s">
        <v>5</v>
      </c>
      <c r="C69" s="1" t="s">
        <v>42</v>
      </c>
      <c r="D69" s="1">
        <v>1</v>
      </c>
      <c r="E69" s="1">
        <f t="shared" si="1"/>
        <v>2</v>
      </c>
      <c r="F69" s="7">
        <v>16000000</v>
      </c>
      <c r="G69" s="5"/>
    </row>
    <row r="70" spans="1:7" ht="14.45">
      <c r="A70" s="1" t="s">
        <v>162</v>
      </c>
      <c r="B70" s="1" t="s">
        <v>6</v>
      </c>
      <c r="C70" s="1" t="s">
        <v>41</v>
      </c>
      <c r="D70" s="1">
        <v>3</v>
      </c>
      <c r="E70" s="1">
        <f t="shared" si="1"/>
        <v>6</v>
      </c>
      <c r="F70" s="7">
        <v>15521686</v>
      </c>
      <c r="G70" s="5"/>
    </row>
    <row r="71" spans="1:7" ht="14.45">
      <c r="A71" s="1" t="s">
        <v>163</v>
      </c>
      <c r="B71" s="1" t="s">
        <v>31</v>
      </c>
      <c r="C71" s="1" t="s">
        <v>42</v>
      </c>
      <c r="D71" s="1">
        <v>4</v>
      </c>
      <c r="E71" s="1">
        <f t="shared" si="1"/>
        <v>8</v>
      </c>
      <c r="F71" s="7">
        <v>15333333</v>
      </c>
      <c r="G71" s="5"/>
    </row>
    <row r="72" spans="1:7" ht="14.45">
      <c r="A72" s="1" t="s">
        <v>164</v>
      </c>
      <c r="B72" s="1" t="s">
        <v>27</v>
      </c>
      <c r="C72" s="1" t="s">
        <v>42</v>
      </c>
      <c r="D72" s="1">
        <v>6</v>
      </c>
      <c r="E72" s="1">
        <f t="shared" si="1"/>
        <v>12</v>
      </c>
      <c r="F72" s="7">
        <v>15200000</v>
      </c>
      <c r="G72" s="5"/>
    </row>
    <row r="73" spans="1:7" ht="14.45">
      <c r="A73" s="1" t="s">
        <v>165</v>
      </c>
      <c r="B73" s="1" t="s">
        <v>27</v>
      </c>
      <c r="C73" s="1" t="s">
        <v>40</v>
      </c>
      <c r="D73" s="1">
        <v>3</v>
      </c>
      <c r="E73" s="1">
        <f t="shared" si="1"/>
        <v>6</v>
      </c>
      <c r="F73" s="7">
        <v>15000000</v>
      </c>
      <c r="G73" s="5"/>
    </row>
    <row r="74" spans="1:7" ht="14.45">
      <c r="A74" s="1" t="s">
        <v>166</v>
      </c>
      <c r="B74" s="1" t="s">
        <v>27</v>
      </c>
      <c r="C74" s="1" t="s">
        <v>39</v>
      </c>
      <c r="D74" s="1">
        <v>1</v>
      </c>
      <c r="E74" s="1">
        <f t="shared" si="1"/>
        <v>2</v>
      </c>
      <c r="F74" s="7">
        <v>14750000</v>
      </c>
      <c r="G74" s="5"/>
    </row>
    <row r="75" spans="1:7" ht="14.45">
      <c r="A75" s="1" t="s">
        <v>167</v>
      </c>
      <c r="B75" s="1" t="s">
        <v>27</v>
      </c>
      <c r="C75" s="1" t="s">
        <v>43</v>
      </c>
      <c r="D75" s="1">
        <v>3</v>
      </c>
      <c r="E75" s="1">
        <f t="shared" si="1"/>
        <v>6</v>
      </c>
      <c r="F75" s="7">
        <v>14500000</v>
      </c>
      <c r="G75" s="5"/>
    </row>
    <row r="76" spans="1:7" ht="14.45">
      <c r="A76" s="1" t="s">
        <v>168</v>
      </c>
      <c r="B76" s="1" t="s">
        <v>33</v>
      </c>
      <c r="C76" s="1" t="s">
        <v>38</v>
      </c>
      <c r="D76" s="1">
        <v>3</v>
      </c>
      <c r="E76" s="1">
        <f t="shared" si="1"/>
        <v>6</v>
      </c>
      <c r="F76" s="7">
        <v>14333333</v>
      </c>
      <c r="G76" s="5"/>
    </row>
    <row r="77" spans="1:7" ht="14.45">
      <c r="A77" s="1" t="s">
        <v>169</v>
      </c>
      <c r="B77" s="1" t="s">
        <v>28</v>
      </c>
      <c r="C77" s="1" t="s">
        <v>37</v>
      </c>
      <c r="D77" s="1">
        <v>4</v>
      </c>
      <c r="E77" s="1">
        <f t="shared" si="1"/>
        <v>8</v>
      </c>
      <c r="F77" s="7">
        <v>14250000</v>
      </c>
      <c r="G77" s="5"/>
    </row>
    <row r="78" spans="1:7" ht="14.45">
      <c r="A78" s="1" t="s">
        <v>170</v>
      </c>
      <c r="B78" s="1" t="s">
        <v>29</v>
      </c>
      <c r="C78" s="1" t="s">
        <v>38</v>
      </c>
      <c r="D78" s="1">
        <v>8</v>
      </c>
      <c r="E78" s="1">
        <f t="shared" si="1"/>
        <v>16</v>
      </c>
      <c r="F78" s="7">
        <v>14083333</v>
      </c>
      <c r="G78" s="5"/>
    </row>
    <row r="79" spans="1:7" ht="14.45">
      <c r="A79" s="1" t="s">
        <v>171</v>
      </c>
      <c r="B79" s="1" t="s">
        <v>19</v>
      </c>
      <c r="C79" s="1" t="s">
        <v>39</v>
      </c>
      <c r="D79" s="1">
        <v>9</v>
      </c>
      <c r="E79" s="1">
        <f t="shared" si="1"/>
        <v>18</v>
      </c>
      <c r="F79" s="7">
        <v>14000000</v>
      </c>
      <c r="G79" s="5"/>
    </row>
    <row r="80" spans="1:7" ht="14.45">
      <c r="A80" s="1" t="s">
        <v>172</v>
      </c>
      <c r="B80" s="1" t="s">
        <v>14</v>
      </c>
      <c r="C80" s="1" t="s">
        <v>40</v>
      </c>
      <c r="D80" s="1">
        <v>6</v>
      </c>
      <c r="E80" s="1">
        <f t="shared" si="1"/>
        <v>12</v>
      </c>
      <c r="F80" s="7">
        <v>14000000</v>
      </c>
      <c r="G80" s="5"/>
    </row>
    <row r="81" spans="1:7" ht="14.45">
      <c r="A81" s="1" t="s">
        <v>173</v>
      </c>
      <c r="B81" s="1" t="s">
        <v>5</v>
      </c>
      <c r="C81" s="1" t="s">
        <v>40</v>
      </c>
      <c r="D81" s="1">
        <v>4</v>
      </c>
      <c r="E81" s="1">
        <f t="shared" si="1"/>
        <v>8</v>
      </c>
      <c r="F81" s="7">
        <v>14000000</v>
      </c>
      <c r="G81" s="5"/>
    </row>
    <row r="82" spans="1:7" ht="14.45">
      <c r="A82" s="1" t="s">
        <v>174</v>
      </c>
      <c r="B82" s="1" t="s">
        <v>11</v>
      </c>
      <c r="C82" s="1" t="s">
        <v>39</v>
      </c>
      <c r="D82" s="1">
        <v>9</v>
      </c>
      <c r="E82" s="1">
        <f t="shared" si="1"/>
        <v>18</v>
      </c>
      <c r="F82" s="7">
        <v>14000000</v>
      </c>
      <c r="G82" s="5"/>
    </row>
    <row r="83" spans="1:7" ht="14.45">
      <c r="A83" s="1" t="s">
        <v>175</v>
      </c>
      <c r="B83" s="1" t="s">
        <v>6</v>
      </c>
      <c r="C83" s="1" t="s">
        <v>40</v>
      </c>
      <c r="D83" s="1">
        <v>6</v>
      </c>
      <c r="E83" s="1">
        <f t="shared" si="1"/>
        <v>12</v>
      </c>
      <c r="F83" s="7">
        <v>13900000</v>
      </c>
      <c r="G83" s="5"/>
    </row>
    <row r="84" spans="1:7" ht="14.45">
      <c r="A84" s="1" t="s">
        <v>176</v>
      </c>
      <c r="B84" s="1" t="s">
        <v>10</v>
      </c>
      <c r="C84" s="1" t="s">
        <v>41</v>
      </c>
      <c r="D84" s="1">
        <v>8</v>
      </c>
      <c r="E84" s="1">
        <f t="shared" si="1"/>
        <v>16</v>
      </c>
      <c r="F84" s="7">
        <v>13666667</v>
      </c>
      <c r="G84" s="5"/>
    </row>
    <row r="85" spans="1:7" ht="14.45">
      <c r="A85" s="1" t="s">
        <v>177</v>
      </c>
      <c r="B85" s="1" t="s">
        <v>20</v>
      </c>
      <c r="C85" s="1" t="s">
        <v>40</v>
      </c>
      <c r="D85" s="1">
        <v>5</v>
      </c>
      <c r="E85" s="1">
        <f t="shared" si="1"/>
        <v>10</v>
      </c>
      <c r="F85" s="7">
        <v>13500000</v>
      </c>
      <c r="G85" s="5"/>
    </row>
    <row r="86" spans="1:7" ht="14.45">
      <c r="A86" s="1" t="s">
        <v>178</v>
      </c>
      <c r="B86" s="1" t="s">
        <v>18</v>
      </c>
      <c r="C86" s="1" t="s">
        <v>43</v>
      </c>
      <c r="D86" s="1">
        <v>4</v>
      </c>
      <c r="E86" s="1">
        <f t="shared" si="1"/>
        <v>8</v>
      </c>
      <c r="F86" s="7">
        <v>13500000</v>
      </c>
      <c r="G86" s="5"/>
    </row>
    <row r="87" spans="1:7" ht="14.45">
      <c r="A87" s="1" t="s">
        <v>179</v>
      </c>
      <c r="B87" s="1" t="s">
        <v>20</v>
      </c>
      <c r="C87" s="1" t="s">
        <v>40</v>
      </c>
      <c r="D87" s="1">
        <v>5</v>
      </c>
      <c r="E87" s="1">
        <f t="shared" si="1"/>
        <v>10</v>
      </c>
      <c r="F87" s="7">
        <v>13200000</v>
      </c>
      <c r="G87" s="5"/>
    </row>
    <row r="88" spans="1:7" ht="14.45">
      <c r="A88" s="1" t="s">
        <v>180</v>
      </c>
      <c r="B88" s="1" t="s">
        <v>13</v>
      </c>
      <c r="C88" s="1" t="s">
        <v>40</v>
      </c>
      <c r="D88" s="1">
        <v>5</v>
      </c>
      <c r="E88" s="1">
        <f t="shared" si="1"/>
        <v>10</v>
      </c>
      <c r="F88" s="7">
        <v>13200000</v>
      </c>
      <c r="G88" s="5"/>
    </row>
    <row r="89" spans="1:7" ht="14.45">
      <c r="A89" s="1" t="s">
        <v>181</v>
      </c>
      <c r="B89" s="1" t="s">
        <v>9</v>
      </c>
      <c r="C89" s="1" t="s">
        <v>36</v>
      </c>
      <c r="D89" s="1">
        <v>6</v>
      </c>
      <c r="E89" s="1">
        <f t="shared" si="1"/>
        <v>12</v>
      </c>
      <c r="F89" s="7">
        <v>13125000</v>
      </c>
      <c r="G89" s="5"/>
    </row>
    <row r="90" spans="1:7" ht="14.45">
      <c r="A90" s="1" t="s">
        <v>182</v>
      </c>
      <c r="B90" s="1" t="s">
        <v>26</v>
      </c>
      <c r="C90" s="1" t="s">
        <v>43</v>
      </c>
      <c r="D90" s="1">
        <v>2</v>
      </c>
      <c r="E90" s="1">
        <f t="shared" si="1"/>
        <v>4</v>
      </c>
      <c r="F90" s="7">
        <v>13000000</v>
      </c>
      <c r="G90" s="5"/>
    </row>
    <row r="91" spans="1:7" ht="14.45">
      <c r="A91" s="1" t="s">
        <v>183</v>
      </c>
      <c r="B91" s="1" t="s">
        <v>13</v>
      </c>
      <c r="C91" s="1" t="s">
        <v>39</v>
      </c>
      <c r="D91" s="1">
        <v>2</v>
      </c>
      <c r="E91" s="1">
        <f t="shared" si="1"/>
        <v>4</v>
      </c>
      <c r="F91" s="7">
        <v>13000000</v>
      </c>
      <c r="G91" s="5"/>
    </row>
    <row r="92" spans="1:7" ht="14.45">
      <c r="A92" s="1" t="s">
        <v>184</v>
      </c>
      <c r="B92" s="1" t="s">
        <v>22</v>
      </c>
      <c r="C92" s="1" t="s">
        <v>40</v>
      </c>
      <c r="D92" s="1">
        <v>2</v>
      </c>
      <c r="E92" s="1">
        <f t="shared" si="1"/>
        <v>4</v>
      </c>
      <c r="F92" s="7">
        <v>13000000</v>
      </c>
      <c r="G92" s="5"/>
    </row>
    <row r="93" spans="1:7" ht="14.45">
      <c r="A93" s="1" t="s">
        <v>185</v>
      </c>
      <c r="B93" s="1" t="s">
        <v>32</v>
      </c>
      <c r="C93" s="1" t="s">
        <v>40</v>
      </c>
      <c r="D93" s="1">
        <v>1</v>
      </c>
      <c r="E93" s="1">
        <f t="shared" si="1"/>
        <v>2</v>
      </c>
      <c r="F93" s="7">
        <v>13000000</v>
      </c>
      <c r="G93" s="5"/>
    </row>
    <row r="94" spans="1:7" ht="14.45">
      <c r="A94" s="1" t="s">
        <v>186</v>
      </c>
      <c r="B94" s="1" t="s">
        <v>8</v>
      </c>
      <c r="C94" s="1" t="s">
        <v>38</v>
      </c>
      <c r="D94" s="1">
        <v>2</v>
      </c>
      <c r="E94" s="1">
        <f t="shared" si="1"/>
        <v>4</v>
      </c>
      <c r="F94" s="7">
        <v>13000000</v>
      </c>
      <c r="G94" s="5"/>
    </row>
    <row r="95" spans="1:7" ht="14.45">
      <c r="A95" s="1" t="s">
        <v>187</v>
      </c>
      <c r="B95" s="1" t="s">
        <v>32</v>
      </c>
      <c r="C95" s="1" t="s">
        <v>40</v>
      </c>
      <c r="D95" s="1">
        <v>2</v>
      </c>
      <c r="E95" s="1">
        <f t="shared" si="1"/>
        <v>4</v>
      </c>
      <c r="F95" s="7">
        <v>13000000</v>
      </c>
      <c r="G95" s="5"/>
    </row>
    <row r="96" spans="1:7" ht="14.45">
      <c r="A96" s="1" t="s">
        <v>188</v>
      </c>
      <c r="B96" s="1" t="s">
        <v>15</v>
      </c>
      <c r="C96" s="1" t="s">
        <v>43</v>
      </c>
      <c r="D96" s="1">
        <v>2</v>
      </c>
      <c r="E96" s="1">
        <f t="shared" si="1"/>
        <v>4</v>
      </c>
      <c r="F96" s="7">
        <v>12666666</v>
      </c>
      <c r="G96" s="5"/>
    </row>
    <row r="97" spans="1:7" ht="14.45">
      <c r="A97" s="1" t="s">
        <v>189</v>
      </c>
      <c r="B97" s="1" t="s">
        <v>7</v>
      </c>
      <c r="C97" s="1" t="s">
        <v>40</v>
      </c>
      <c r="D97" s="1">
        <v>2</v>
      </c>
      <c r="E97" s="1">
        <f t="shared" si="1"/>
        <v>4</v>
      </c>
      <c r="F97" s="7">
        <v>12500000</v>
      </c>
      <c r="G97" s="5"/>
    </row>
    <row r="98" spans="1:7" ht="14.45">
      <c r="A98" s="1" t="s">
        <v>190</v>
      </c>
      <c r="B98" s="1" t="s">
        <v>6</v>
      </c>
      <c r="C98" s="1" t="s">
        <v>40</v>
      </c>
      <c r="D98" s="1">
        <v>2</v>
      </c>
      <c r="E98" s="1">
        <f t="shared" si="1"/>
        <v>4</v>
      </c>
      <c r="F98" s="7">
        <v>12500000</v>
      </c>
      <c r="G98" s="5"/>
    </row>
    <row r="99" spans="1:7" ht="14.45">
      <c r="A99" s="1" t="s">
        <v>191</v>
      </c>
      <c r="B99" s="1" t="s">
        <v>30</v>
      </c>
      <c r="C99" s="1" t="s">
        <v>39</v>
      </c>
      <c r="D99" s="1">
        <v>2</v>
      </c>
      <c r="E99" s="1">
        <f t="shared" si="1"/>
        <v>4</v>
      </c>
      <c r="F99" s="7">
        <v>12333333</v>
      </c>
      <c r="G99" s="5"/>
    </row>
    <row r="100" spans="1:7" ht="14.45">
      <c r="A100" s="1" t="s">
        <v>192</v>
      </c>
      <c r="B100" s="1" t="s">
        <v>33</v>
      </c>
      <c r="C100" s="1" t="s">
        <v>43</v>
      </c>
      <c r="D100" s="1">
        <v>3</v>
      </c>
      <c r="E100" s="1">
        <f t="shared" si="1"/>
        <v>6</v>
      </c>
      <c r="F100" s="7">
        <v>12300000</v>
      </c>
      <c r="G100" s="5"/>
    </row>
    <row r="101" spans="1:7" ht="14.45">
      <c r="A101" s="1" t="s">
        <v>193</v>
      </c>
      <c r="B101" s="1" t="s">
        <v>5</v>
      </c>
      <c r="C101" s="1" t="s">
        <v>37</v>
      </c>
      <c r="D101" s="1">
        <v>1</v>
      </c>
      <c r="E101" s="1">
        <f t="shared" si="1"/>
        <v>2</v>
      </c>
      <c r="F101" s="7">
        <v>12274428</v>
      </c>
      <c r="G101" s="5"/>
    </row>
    <row r="102" spans="1:7" ht="14.45">
      <c r="A102" s="1" t="s">
        <v>194</v>
      </c>
      <c r="B102" s="1" t="s">
        <v>16</v>
      </c>
      <c r="C102" s="1" t="s">
        <v>43</v>
      </c>
      <c r="D102" s="1">
        <v>2</v>
      </c>
      <c r="E102" s="1">
        <f t="shared" si="1"/>
        <v>4</v>
      </c>
      <c r="F102" s="7">
        <v>12000000</v>
      </c>
      <c r="G102" s="5"/>
    </row>
    <row r="103" spans="1:7" ht="14.45">
      <c r="A103" s="1" t="s">
        <v>195</v>
      </c>
      <c r="B103" s="1" t="s">
        <v>22</v>
      </c>
      <c r="C103" s="1" t="s">
        <v>39</v>
      </c>
      <c r="D103" s="1">
        <v>5</v>
      </c>
      <c r="E103" s="1">
        <f t="shared" si="1"/>
        <v>10</v>
      </c>
      <c r="F103" s="7">
        <v>12000000</v>
      </c>
      <c r="G103" s="5"/>
    </row>
    <row r="104" spans="1:7" ht="14.45">
      <c r="A104" s="1" t="s">
        <v>196</v>
      </c>
      <c r="B104" s="1" t="s">
        <v>13</v>
      </c>
      <c r="C104" s="1" t="s">
        <v>38</v>
      </c>
      <c r="D104" s="1">
        <v>4</v>
      </c>
      <c r="E104" s="1">
        <f t="shared" si="1"/>
        <v>8</v>
      </c>
      <c r="F104" s="7">
        <v>12000000</v>
      </c>
      <c r="G104" s="5"/>
    </row>
    <row r="105" spans="1:7" ht="14.45">
      <c r="A105" s="1" t="s">
        <v>197</v>
      </c>
      <c r="B105" s="1" t="s">
        <v>13</v>
      </c>
      <c r="C105" s="1" t="s">
        <v>39</v>
      </c>
      <c r="D105" s="1">
        <v>6</v>
      </c>
      <c r="E105" s="1">
        <f t="shared" si="1"/>
        <v>12</v>
      </c>
      <c r="F105" s="7">
        <v>12000000</v>
      </c>
      <c r="G105" s="5"/>
    </row>
    <row r="106" spans="1:7" ht="14.45">
      <c r="A106" s="1" t="s">
        <v>198</v>
      </c>
      <c r="B106" s="1" t="s">
        <v>33</v>
      </c>
      <c r="C106" s="1" t="s">
        <v>40</v>
      </c>
      <c r="D106" s="1">
        <v>4</v>
      </c>
      <c r="E106" s="1">
        <f t="shared" si="1"/>
        <v>8</v>
      </c>
      <c r="F106" s="7">
        <v>12000000</v>
      </c>
      <c r="G106" s="5"/>
    </row>
    <row r="107" spans="1:7" ht="14.45">
      <c r="A107" s="1" t="s">
        <v>199</v>
      </c>
      <c r="B107" s="1" t="s">
        <v>20</v>
      </c>
      <c r="C107" s="1" t="s">
        <v>40</v>
      </c>
      <c r="D107" s="1">
        <v>5</v>
      </c>
      <c r="E107" s="1">
        <f t="shared" si="1"/>
        <v>10</v>
      </c>
      <c r="F107" s="7">
        <v>12000000</v>
      </c>
      <c r="G107" s="5"/>
    </row>
    <row r="108" spans="1:7" ht="14.45">
      <c r="A108" s="1" t="s">
        <v>200</v>
      </c>
      <c r="B108" s="1" t="s">
        <v>27</v>
      </c>
      <c r="C108" s="1" t="s">
        <v>40</v>
      </c>
      <c r="D108" s="1">
        <v>6</v>
      </c>
      <c r="E108" s="1">
        <f t="shared" si="1"/>
        <v>12</v>
      </c>
      <c r="F108" s="7">
        <v>12000000</v>
      </c>
      <c r="G108" s="5"/>
    </row>
    <row r="109" spans="1:7" ht="14.45">
      <c r="A109" s="1" t="s">
        <v>201</v>
      </c>
      <c r="B109" s="1" t="s">
        <v>10</v>
      </c>
      <c r="C109" s="1" t="s">
        <v>39</v>
      </c>
      <c r="D109" s="1">
        <v>4</v>
      </c>
      <c r="E109" s="1">
        <f t="shared" si="1"/>
        <v>8</v>
      </c>
      <c r="F109" s="7">
        <v>12000000</v>
      </c>
      <c r="G109" s="5"/>
    </row>
    <row r="110" spans="1:7" ht="14.45">
      <c r="A110" s="1" t="s">
        <v>202</v>
      </c>
      <c r="B110" s="1" t="s">
        <v>5</v>
      </c>
      <c r="C110" s="1" t="s">
        <v>40</v>
      </c>
      <c r="D110" s="1">
        <v>5</v>
      </c>
      <c r="E110" s="1">
        <f t="shared" si="1"/>
        <v>10</v>
      </c>
      <c r="F110" s="7">
        <v>12000000</v>
      </c>
      <c r="G110" s="5"/>
    </row>
    <row r="111" spans="1:7" ht="14.45">
      <c r="A111" s="1" t="s">
        <v>203</v>
      </c>
      <c r="B111" s="1" t="s">
        <v>29</v>
      </c>
      <c r="C111" s="1" t="s">
        <v>40</v>
      </c>
      <c r="D111" s="1">
        <v>8</v>
      </c>
      <c r="E111" s="1">
        <f t="shared" si="1"/>
        <v>16</v>
      </c>
      <c r="F111" s="7">
        <v>11800000</v>
      </c>
      <c r="G111" s="5"/>
    </row>
    <row r="112" spans="1:7" ht="14.45">
      <c r="A112" s="1" t="s">
        <v>204</v>
      </c>
      <c r="B112" s="1" t="s">
        <v>3</v>
      </c>
      <c r="C112" s="1" t="s">
        <v>40</v>
      </c>
      <c r="D112" s="1">
        <v>4</v>
      </c>
      <c r="E112" s="1">
        <f t="shared" si="1"/>
        <v>8</v>
      </c>
      <c r="F112" s="7">
        <v>11500000</v>
      </c>
      <c r="G112" s="5"/>
    </row>
    <row r="113" spans="1:7" ht="14.45">
      <c r="A113" s="1" t="s">
        <v>205</v>
      </c>
      <c r="B113" s="1" t="s">
        <v>2</v>
      </c>
      <c r="C113" s="1" t="s">
        <v>38</v>
      </c>
      <c r="D113" s="1">
        <v>6</v>
      </c>
      <c r="E113" s="1">
        <f t="shared" si="1"/>
        <v>12</v>
      </c>
      <c r="F113" s="7">
        <v>11083333</v>
      </c>
      <c r="G113" s="5"/>
    </row>
    <row r="114" spans="1:7" ht="14.45">
      <c r="A114" s="1" t="s">
        <v>206</v>
      </c>
      <c r="B114" s="1" t="s">
        <v>18</v>
      </c>
      <c r="C114" s="1" t="s">
        <v>41</v>
      </c>
      <c r="D114" s="1">
        <v>1</v>
      </c>
      <c r="E114" s="1">
        <f t="shared" si="1"/>
        <v>2</v>
      </c>
      <c r="F114" s="7">
        <v>11000000</v>
      </c>
      <c r="G114" s="5"/>
    </row>
    <row r="115" spans="1:7" ht="14.45">
      <c r="A115" s="1" t="s">
        <v>207</v>
      </c>
      <c r="B115" s="1" t="s">
        <v>15</v>
      </c>
      <c r="C115" s="1" t="s">
        <v>42</v>
      </c>
      <c r="D115" s="1">
        <v>7</v>
      </c>
      <c r="E115" s="1">
        <f t="shared" si="1"/>
        <v>14</v>
      </c>
      <c r="F115" s="7">
        <v>11000000</v>
      </c>
      <c r="G115" s="5"/>
    </row>
    <row r="116" spans="1:7" ht="14.45">
      <c r="A116" s="1" t="s">
        <v>208</v>
      </c>
      <c r="B116" s="1" t="s">
        <v>28</v>
      </c>
      <c r="C116" s="1" t="s">
        <v>39</v>
      </c>
      <c r="D116" s="1">
        <v>8</v>
      </c>
      <c r="E116" s="1">
        <f t="shared" si="1"/>
        <v>16</v>
      </c>
      <c r="F116" s="7">
        <v>11000000</v>
      </c>
      <c r="G116" s="5"/>
    </row>
    <row r="117" spans="1:7" ht="14.45">
      <c r="A117" s="1" t="s">
        <v>209</v>
      </c>
      <c r="B117" s="1" t="s">
        <v>3</v>
      </c>
      <c r="C117" s="1" t="s">
        <v>39</v>
      </c>
      <c r="D117" s="1">
        <v>8</v>
      </c>
      <c r="E117" s="1">
        <f t="shared" si="1"/>
        <v>16</v>
      </c>
      <c r="F117" s="7">
        <v>11000000</v>
      </c>
      <c r="G117" s="5"/>
    </row>
    <row r="118" spans="1:7" ht="14.45">
      <c r="A118" s="1" t="s">
        <v>210</v>
      </c>
      <c r="B118" s="1" t="s">
        <v>21</v>
      </c>
      <c r="C118" s="1" t="s">
        <v>39</v>
      </c>
      <c r="D118" s="1">
        <v>1</v>
      </c>
      <c r="E118" s="1">
        <f t="shared" si="1"/>
        <v>2</v>
      </c>
      <c r="F118" s="7">
        <v>11000000</v>
      </c>
      <c r="G118" s="5"/>
    </row>
    <row r="119" spans="1:7" ht="14.45">
      <c r="A119" s="1" t="s">
        <v>211</v>
      </c>
      <c r="B119" s="1" t="s">
        <v>32</v>
      </c>
      <c r="C119" s="1" t="s">
        <v>37</v>
      </c>
      <c r="D119" s="1">
        <v>10</v>
      </c>
      <c r="E119" s="1">
        <f t="shared" si="1"/>
        <v>20</v>
      </c>
      <c r="F119" s="7">
        <v>11000000</v>
      </c>
      <c r="G119" s="5"/>
    </row>
    <row r="120" spans="1:7" ht="14.45">
      <c r="A120" s="1" t="s">
        <v>212</v>
      </c>
      <c r="B120" s="1" t="s">
        <v>15</v>
      </c>
      <c r="C120" s="1" t="s">
        <v>41</v>
      </c>
      <c r="D120" s="1">
        <v>4</v>
      </c>
      <c r="E120" s="1">
        <f t="shared" si="1"/>
        <v>8</v>
      </c>
      <c r="F120" s="7">
        <v>11000000</v>
      </c>
      <c r="G120" s="5"/>
    </row>
    <row r="121" spans="1:7" ht="14.45">
      <c r="A121" s="1" t="s">
        <v>213</v>
      </c>
      <c r="B121" s="1" t="s">
        <v>7</v>
      </c>
      <c r="C121" s="1" t="s">
        <v>43</v>
      </c>
      <c r="D121" s="1">
        <v>4</v>
      </c>
      <c r="E121" s="1">
        <f t="shared" si="1"/>
        <v>8</v>
      </c>
      <c r="F121" s="7">
        <v>10850000</v>
      </c>
      <c r="G121" s="5"/>
    </row>
    <row r="122" spans="1:7" ht="14.45">
      <c r="A122" s="1" t="s">
        <v>214</v>
      </c>
      <c r="B122" s="1" t="s">
        <v>16</v>
      </c>
      <c r="C122" s="1" t="s">
        <v>40</v>
      </c>
      <c r="D122" s="1">
        <v>5</v>
      </c>
      <c r="E122" s="1">
        <f t="shared" si="1"/>
        <v>10</v>
      </c>
      <c r="F122" s="7">
        <v>10800000</v>
      </c>
      <c r="G122" s="5"/>
    </row>
    <row r="123" spans="1:7" ht="14.45">
      <c r="A123" s="1" t="s">
        <v>215</v>
      </c>
      <c r="B123" s="1" t="s">
        <v>10</v>
      </c>
      <c r="C123" s="1" t="s">
        <v>40</v>
      </c>
      <c r="D123" s="1">
        <v>6</v>
      </c>
      <c r="E123" s="1">
        <f t="shared" si="1"/>
        <v>12</v>
      </c>
      <c r="F123" s="7">
        <v>10700000</v>
      </c>
      <c r="G123" s="5"/>
    </row>
    <row r="124" spans="1:7" ht="14.45">
      <c r="A124" s="1" t="s">
        <v>216</v>
      </c>
      <c r="B124" s="1" t="s">
        <v>10</v>
      </c>
      <c r="C124" s="1" t="s">
        <v>40</v>
      </c>
      <c r="D124" s="1">
        <v>4</v>
      </c>
      <c r="E124" s="1">
        <f t="shared" si="1"/>
        <v>8</v>
      </c>
      <c r="F124" s="7">
        <v>10575000</v>
      </c>
      <c r="G124" s="5"/>
    </row>
    <row r="125" spans="1:7" ht="14.45">
      <c r="A125" s="1" t="s">
        <v>217</v>
      </c>
      <c r="B125" s="1" t="s">
        <v>25</v>
      </c>
      <c r="C125" s="1" t="s">
        <v>36</v>
      </c>
      <c r="D125" s="1">
        <v>9</v>
      </c>
      <c r="E125" s="1">
        <f t="shared" si="1"/>
        <v>18</v>
      </c>
      <c r="F125" s="7">
        <v>10500000</v>
      </c>
      <c r="G125" s="5"/>
    </row>
    <row r="126" spans="1:7" ht="14.45">
      <c r="A126" s="1" t="s">
        <v>218</v>
      </c>
      <c r="B126" s="1" t="s">
        <v>25</v>
      </c>
      <c r="C126" s="1" t="s">
        <v>41</v>
      </c>
      <c r="D126" s="1">
        <v>6</v>
      </c>
      <c r="E126" s="1">
        <f t="shared" si="1"/>
        <v>12</v>
      </c>
      <c r="F126" s="7">
        <v>10500000</v>
      </c>
      <c r="G126" s="5"/>
    </row>
    <row r="127" spans="1:7" ht="14.45">
      <c r="A127" s="1" t="s">
        <v>219</v>
      </c>
      <c r="B127" s="1" t="s">
        <v>7</v>
      </c>
      <c r="C127" s="1" t="s">
        <v>40</v>
      </c>
      <c r="D127" s="1">
        <v>7</v>
      </c>
      <c r="E127" s="1">
        <f t="shared" si="1"/>
        <v>14</v>
      </c>
      <c r="F127" s="7">
        <v>10500000</v>
      </c>
      <c r="G127" s="5"/>
    </row>
    <row r="128" spans="1:7" ht="14.45">
      <c r="A128" s="1" t="s">
        <v>220</v>
      </c>
      <c r="B128" s="1" t="s">
        <v>23</v>
      </c>
      <c r="C128" s="1" t="s">
        <v>39</v>
      </c>
      <c r="D128" s="1">
        <v>9</v>
      </c>
      <c r="E128" s="1">
        <f t="shared" si="1"/>
        <v>18</v>
      </c>
      <c r="F128" s="7">
        <v>10500000</v>
      </c>
      <c r="G128" s="5"/>
    </row>
    <row r="129" spans="1:7" ht="14.45">
      <c r="A129" s="1" t="s">
        <v>221</v>
      </c>
      <c r="B129" s="1" t="s">
        <v>33</v>
      </c>
      <c r="C129" s="1" t="s">
        <v>36</v>
      </c>
      <c r="D129" s="1">
        <v>6</v>
      </c>
      <c r="E129" s="1">
        <f t="shared" si="1"/>
        <v>12</v>
      </c>
      <c r="F129" s="7">
        <v>10500000</v>
      </c>
      <c r="G129" s="5"/>
    </row>
    <row r="130" spans="1:7" ht="14.45">
      <c r="A130" s="1" t="s">
        <v>222</v>
      </c>
      <c r="B130" s="1" t="s">
        <v>6</v>
      </c>
      <c r="C130" s="1" t="s">
        <v>39</v>
      </c>
      <c r="D130" s="1">
        <v>4</v>
      </c>
      <c r="E130" s="1">
        <f t="shared" ref="E130:E193" si="2">D130*2</f>
        <v>8</v>
      </c>
      <c r="F130" s="7">
        <v>10500000</v>
      </c>
      <c r="G130" s="5"/>
    </row>
    <row r="131" spans="1:7" ht="14.45">
      <c r="A131" s="1" t="s">
        <v>223</v>
      </c>
      <c r="B131" s="1" t="s">
        <v>18</v>
      </c>
      <c r="C131" s="1" t="s">
        <v>40</v>
      </c>
      <c r="D131" s="1">
        <v>6</v>
      </c>
      <c r="E131" s="1">
        <f t="shared" si="2"/>
        <v>12</v>
      </c>
      <c r="F131" s="7">
        <v>10000000</v>
      </c>
      <c r="G131" s="5"/>
    </row>
    <row r="132" spans="1:7" ht="14.45">
      <c r="A132" s="1" t="s">
        <v>224</v>
      </c>
      <c r="B132" s="1" t="s">
        <v>11</v>
      </c>
      <c r="C132" s="1" t="s">
        <v>39</v>
      </c>
      <c r="D132" s="1">
        <v>4</v>
      </c>
      <c r="E132" s="1">
        <f t="shared" si="2"/>
        <v>8</v>
      </c>
      <c r="F132" s="7">
        <v>10000000</v>
      </c>
      <c r="G132" s="5"/>
    </row>
    <row r="133" spans="1:7" ht="14.45">
      <c r="A133" s="1" t="s">
        <v>225</v>
      </c>
      <c r="B133" s="1" t="s">
        <v>14</v>
      </c>
      <c r="C133" s="1" t="s">
        <v>40</v>
      </c>
      <c r="D133" s="1">
        <v>6</v>
      </c>
      <c r="E133" s="1">
        <f t="shared" si="2"/>
        <v>12</v>
      </c>
      <c r="F133" s="7">
        <v>10000000</v>
      </c>
      <c r="G133" s="5"/>
    </row>
    <row r="134" spans="1:7" ht="14.45">
      <c r="A134" s="1" t="s">
        <v>226</v>
      </c>
      <c r="B134" s="1" t="s">
        <v>22</v>
      </c>
      <c r="C134" s="1" t="s">
        <v>40</v>
      </c>
      <c r="D134" s="1">
        <v>7</v>
      </c>
      <c r="E134" s="1">
        <f t="shared" si="2"/>
        <v>14</v>
      </c>
      <c r="F134" s="7">
        <v>10000000</v>
      </c>
      <c r="G134" s="5"/>
    </row>
    <row r="135" spans="1:7" ht="14.45">
      <c r="A135" s="1" t="s">
        <v>227</v>
      </c>
      <c r="B135" s="1" t="s">
        <v>32</v>
      </c>
      <c r="C135" s="1" t="s">
        <v>40</v>
      </c>
      <c r="D135" s="1">
        <v>8</v>
      </c>
      <c r="E135" s="1">
        <f t="shared" si="2"/>
        <v>16</v>
      </c>
      <c r="F135" s="7">
        <v>10000000</v>
      </c>
      <c r="G135" s="5"/>
    </row>
    <row r="136" spans="1:7" ht="14.45">
      <c r="A136" s="1" t="s">
        <v>228</v>
      </c>
      <c r="B136" s="1" t="s">
        <v>28</v>
      </c>
      <c r="C136" s="1" t="s">
        <v>42</v>
      </c>
      <c r="D136" s="1">
        <v>11</v>
      </c>
      <c r="E136" s="1">
        <f t="shared" si="2"/>
        <v>22</v>
      </c>
      <c r="F136" s="7">
        <v>9800000</v>
      </c>
      <c r="G136" s="5"/>
    </row>
    <row r="137" spans="1:7" ht="14.45">
      <c r="A137" s="1" t="s">
        <v>229</v>
      </c>
      <c r="B137" s="1" t="s">
        <v>8</v>
      </c>
      <c r="C137" s="1" t="s">
        <v>40</v>
      </c>
      <c r="D137" s="1">
        <v>7</v>
      </c>
      <c r="E137" s="1">
        <f t="shared" si="2"/>
        <v>14</v>
      </c>
      <c r="F137" s="7">
        <v>9333333</v>
      </c>
      <c r="G137" s="5"/>
    </row>
    <row r="138" spans="1:7" ht="14.45">
      <c r="A138" s="1" t="s">
        <v>230</v>
      </c>
      <c r="B138" s="1" t="s">
        <v>31</v>
      </c>
      <c r="C138" s="1" t="s">
        <v>40</v>
      </c>
      <c r="D138" s="1">
        <v>6</v>
      </c>
      <c r="E138" s="1">
        <f t="shared" si="2"/>
        <v>12</v>
      </c>
      <c r="F138" s="7">
        <v>9250000</v>
      </c>
      <c r="G138" s="5"/>
    </row>
    <row r="139" spans="1:7" ht="14.45">
      <c r="A139" s="1" t="s">
        <v>231</v>
      </c>
      <c r="B139" s="1" t="s">
        <v>21</v>
      </c>
      <c r="C139" s="1" t="s">
        <v>40</v>
      </c>
      <c r="D139" s="1">
        <v>5</v>
      </c>
      <c r="E139" s="1">
        <f t="shared" si="2"/>
        <v>10</v>
      </c>
      <c r="F139" s="7">
        <v>9225000</v>
      </c>
      <c r="G139" s="5"/>
    </row>
    <row r="140" spans="1:7" ht="14.45">
      <c r="A140" s="1" t="s">
        <v>232</v>
      </c>
      <c r="B140" s="1" t="s">
        <v>16</v>
      </c>
      <c r="C140" s="1" t="s">
        <v>39</v>
      </c>
      <c r="D140" s="1">
        <v>4</v>
      </c>
      <c r="E140" s="1">
        <f t="shared" si="2"/>
        <v>8</v>
      </c>
      <c r="F140" s="7">
        <v>9214285</v>
      </c>
      <c r="G140" s="5"/>
    </row>
    <row r="141" spans="1:7" ht="14.45">
      <c r="A141" s="1" t="s">
        <v>233</v>
      </c>
      <c r="B141" s="1" t="s">
        <v>25</v>
      </c>
      <c r="C141" s="1" t="s">
        <v>40</v>
      </c>
      <c r="D141" s="1">
        <v>2</v>
      </c>
      <c r="E141" s="1">
        <f t="shared" si="2"/>
        <v>4</v>
      </c>
      <c r="F141" s="7">
        <v>9166667</v>
      </c>
      <c r="G141" s="5"/>
    </row>
    <row r="142" spans="1:7" ht="14.45">
      <c r="A142" s="1" t="s">
        <v>234</v>
      </c>
      <c r="B142" s="1" t="s">
        <v>29</v>
      </c>
      <c r="C142" s="1" t="s">
        <v>43</v>
      </c>
      <c r="D142" s="1">
        <v>3</v>
      </c>
      <c r="E142" s="1">
        <f t="shared" si="2"/>
        <v>6</v>
      </c>
      <c r="F142" s="7">
        <v>9166666</v>
      </c>
      <c r="G142" s="5"/>
    </row>
    <row r="143" spans="1:7" ht="14.45">
      <c r="A143" s="1" t="s">
        <v>235</v>
      </c>
      <c r="B143" s="1" t="s">
        <v>13</v>
      </c>
      <c r="C143" s="1" t="s">
        <v>41</v>
      </c>
      <c r="D143" s="1">
        <v>4</v>
      </c>
      <c r="E143" s="1">
        <f t="shared" si="2"/>
        <v>8</v>
      </c>
      <c r="F143" s="7">
        <v>9000000</v>
      </c>
      <c r="G143" s="5"/>
    </row>
    <row r="144" spans="1:7" ht="14.45">
      <c r="A144" s="1" t="s">
        <v>236</v>
      </c>
      <c r="B144" s="1" t="s">
        <v>10</v>
      </c>
      <c r="C144" s="1" t="s">
        <v>40</v>
      </c>
      <c r="D144" s="1">
        <v>9</v>
      </c>
      <c r="E144" s="1">
        <f t="shared" si="2"/>
        <v>18</v>
      </c>
      <c r="F144" s="7">
        <v>9000000</v>
      </c>
      <c r="G144" s="5"/>
    </row>
    <row r="145" spans="1:7" ht="14.45">
      <c r="A145" s="1" t="s">
        <v>237</v>
      </c>
      <c r="B145" s="1" t="s">
        <v>20</v>
      </c>
      <c r="C145" s="1" t="s">
        <v>41</v>
      </c>
      <c r="D145" s="1">
        <v>6</v>
      </c>
      <c r="E145" s="1">
        <f t="shared" si="2"/>
        <v>12</v>
      </c>
      <c r="F145" s="7">
        <v>9000000</v>
      </c>
      <c r="G145" s="5"/>
    </row>
    <row r="146" spans="1:7" ht="14.45">
      <c r="A146" s="1" t="s">
        <v>238</v>
      </c>
      <c r="B146" s="1" t="s">
        <v>24</v>
      </c>
      <c r="C146" s="1" t="s">
        <v>40</v>
      </c>
      <c r="D146" s="1">
        <v>3</v>
      </c>
      <c r="E146" s="1">
        <f t="shared" si="2"/>
        <v>6</v>
      </c>
      <c r="F146" s="7">
        <v>9000000</v>
      </c>
      <c r="G146" s="5"/>
    </row>
    <row r="147" spans="1:7" ht="14.45">
      <c r="A147" s="1" t="s">
        <v>239</v>
      </c>
      <c r="B147" s="1" t="s">
        <v>18</v>
      </c>
      <c r="C147" s="1" t="s">
        <v>40</v>
      </c>
      <c r="D147" s="1">
        <v>4</v>
      </c>
      <c r="E147" s="1">
        <f t="shared" si="2"/>
        <v>8</v>
      </c>
      <c r="F147" s="7">
        <v>9000000</v>
      </c>
      <c r="G147" s="5"/>
    </row>
    <row r="148" spans="1:7" ht="14.45">
      <c r="A148" s="1" t="s">
        <v>240</v>
      </c>
      <c r="B148" s="1" t="s">
        <v>16</v>
      </c>
      <c r="C148" s="1" t="s">
        <v>41</v>
      </c>
      <c r="D148" s="1">
        <v>8</v>
      </c>
      <c r="E148" s="1">
        <f t="shared" si="2"/>
        <v>16</v>
      </c>
      <c r="F148" s="7">
        <v>9000000</v>
      </c>
      <c r="G148" s="5"/>
    </row>
    <row r="149" spans="1:7" ht="14.45">
      <c r="A149" s="1" t="s">
        <v>241</v>
      </c>
      <c r="B149" s="1" t="s">
        <v>29</v>
      </c>
      <c r="C149" s="1" t="s">
        <v>39</v>
      </c>
      <c r="D149" s="1">
        <v>6</v>
      </c>
      <c r="E149" s="1">
        <f t="shared" si="2"/>
        <v>12</v>
      </c>
      <c r="F149" s="7">
        <v>9000000</v>
      </c>
      <c r="G149" s="5"/>
    </row>
    <row r="150" spans="1:7" ht="14.45">
      <c r="A150" s="1" t="s">
        <v>242</v>
      </c>
      <c r="B150" s="1" t="s">
        <v>5</v>
      </c>
      <c r="C150" s="1" t="s">
        <v>40</v>
      </c>
      <c r="D150" s="1">
        <v>3</v>
      </c>
      <c r="E150" s="1">
        <f t="shared" si="2"/>
        <v>6</v>
      </c>
      <c r="F150" s="7">
        <v>8854712</v>
      </c>
      <c r="G150" s="5"/>
    </row>
    <row r="151" spans="1:7" ht="14.45">
      <c r="A151" s="1" t="s">
        <v>243</v>
      </c>
      <c r="B151" s="1" t="s">
        <v>7</v>
      </c>
      <c r="C151" s="1" t="s">
        <v>40</v>
      </c>
      <c r="D151" s="1">
        <v>4</v>
      </c>
      <c r="E151" s="1">
        <f t="shared" si="2"/>
        <v>8</v>
      </c>
      <c r="F151" s="7">
        <v>8850000</v>
      </c>
      <c r="G151" s="5"/>
    </row>
    <row r="152" spans="1:7" ht="14.45">
      <c r="A152" s="1" t="s">
        <v>244</v>
      </c>
      <c r="B152" s="1" t="s">
        <v>15</v>
      </c>
      <c r="C152" s="1" t="s">
        <v>39</v>
      </c>
      <c r="D152" s="1">
        <v>9</v>
      </c>
      <c r="E152" s="1">
        <f t="shared" si="2"/>
        <v>18</v>
      </c>
      <c r="F152" s="7">
        <v>8833333</v>
      </c>
      <c r="G152" s="5"/>
    </row>
    <row r="153" spans="1:7" ht="14.45">
      <c r="A153" s="1" t="s">
        <v>245</v>
      </c>
      <c r="B153" s="1" t="s">
        <v>10</v>
      </c>
      <c r="C153" s="1" t="s">
        <v>40</v>
      </c>
      <c r="D153" s="1">
        <v>6</v>
      </c>
      <c r="E153" s="1">
        <f t="shared" si="2"/>
        <v>12</v>
      </c>
      <c r="F153" s="7">
        <v>8750000</v>
      </c>
      <c r="G153" s="5"/>
    </row>
    <row r="154" spans="1:7" ht="14.45">
      <c r="A154" s="1" t="s">
        <v>246</v>
      </c>
      <c r="B154" s="1" t="s">
        <v>19</v>
      </c>
      <c r="C154" s="1" t="s">
        <v>40</v>
      </c>
      <c r="D154" s="1">
        <v>8</v>
      </c>
      <c r="E154" s="1">
        <f t="shared" si="2"/>
        <v>16</v>
      </c>
      <c r="F154" s="7">
        <v>8750000</v>
      </c>
      <c r="G154" s="5"/>
    </row>
    <row r="155" spans="1:7" ht="14.45">
      <c r="A155" s="1" t="s">
        <v>247</v>
      </c>
      <c r="B155" s="1" t="s">
        <v>14</v>
      </c>
      <c r="C155" s="1" t="s">
        <v>36</v>
      </c>
      <c r="D155" s="1">
        <v>3</v>
      </c>
      <c r="E155" s="1">
        <f t="shared" si="2"/>
        <v>6</v>
      </c>
      <c r="F155" s="7">
        <v>8700000</v>
      </c>
      <c r="G155" s="5"/>
    </row>
    <row r="156" spans="1:7" ht="14.45">
      <c r="A156" s="1" t="s">
        <v>248</v>
      </c>
      <c r="B156" s="1" t="s">
        <v>30</v>
      </c>
      <c r="C156" s="1" t="s">
        <v>36</v>
      </c>
      <c r="D156" s="1">
        <v>4</v>
      </c>
      <c r="E156" s="1">
        <f t="shared" si="2"/>
        <v>8</v>
      </c>
      <c r="F156" s="7">
        <v>8500000</v>
      </c>
      <c r="G156" s="5"/>
    </row>
    <row r="157" spans="1:7" ht="14.45">
      <c r="A157" s="1" t="s">
        <v>249</v>
      </c>
      <c r="B157" s="1" t="s">
        <v>11</v>
      </c>
      <c r="C157" s="1" t="s">
        <v>41</v>
      </c>
      <c r="D157" s="1">
        <v>8</v>
      </c>
      <c r="E157" s="1">
        <f t="shared" si="2"/>
        <v>16</v>
      </c>
      <c r="F157" s="7">
        <v>8500000</v>
      </c>
      <c r="G157" s="5"/>
    </row>
    <row r="158" spans="1:7" ht="14.45">
      <c r="A158" s="1" t="s">
        <v>250</v>
      </c>
      <c r="B158" s="1" t="s">
        <v>6</v>
      </c>
      <c r="C158" s="1" t="s">
        <v>40</v>
      </c>
      <c r="D158" s="1">
        <v>7</v>
      </c>
      <c r="E158" s="1">
        <f t="shared" si="2"/>
        <v>14</v>
      </c>
      <c r="F158" s="7">
        <v>8500000</v>
      </c>
      <c r="G158" s="5"/>
    </row>
    <row r="159" spans="1:7" ht="14.45">
      <c r="A159" s="1" t="s">
        <v>251</v>
      </c>
      <c r="B159" s="1" t="s">
        <v>5</v>
      </c>
      <c r="C159" s="1" t="s">
        <v>41</v>
      </c>
      <c r="D159" s="1">
        <v>5</v>
      </c>
      <c r="E159" s="1">
        <f t="shared" si="2"/>
        <v>10</v>
      </c>
      <c r="F159" s="7">
        <v>8500000</v>
      </c>
      <c r="G159" s="5"/>
    </row>
    <row r="160" spans="1:7" ht="14.45">
      <c r="A160" s="1" t="s">
        <v>252</v>
      </c>
      <c r="B160" s="1" t="s">
        <v>31</v>
      </c>
      <c r="C160" s="1" t="s">
        <v>40</v>
      </c>
      <c r="D160" s="1">
        <v>4</v>
      </c>
      <c r="E160" s="1">
        <f t="shared" si="2"/>
        <v>8</v>
      </c>
      <c r="F160" s="7">
        <v>8333333</v>
      </c>
      <c r="G160" s="5"/>
    </row>
    <row r="161" spans="1:7" ht="14.45">
      <c r="A161" s="1" t="s">
        <v>253</v>
      </c>
      <c r="B161" s="1" t="s">
        <v>20</v>
      </c>
      <c r="C161" s="1" t="s">
        <v>40</v>
      </c>
      <c r="D161" s="1">
        <v>3</v>
      </c>
      <c r="E161" s="1">
        <f t="shared" si="2"/>
        <v>6</v>
      </c>
      <c r="F161" s="7">
        <v>8250000</v>
      </c>
      <c r="G161" s="5"/>
    </row>
    <row r="162" spans="1:7" ht="14.45">
      <c r="A162" s="1" t="s">
        <v>254</v>
      </c>
      <c r="B162" s="1" t="s">
        <v>15</v>
      </c>
      <c r="C162" s="1" t="s">
        <v>38</v>
      </c>
      <c r="D162" s="1">
        <v>3</v>
      </c>
      <c r="E162" s="1">
        <f t="shared" si="2"/>
        <v>6</v>
      </c>
      <c r="F162" s="7">
        <v>8250000</v>
      </c>
      <c r="G162" s="5"/>
    </row>
    <row r="163" spans="1:7" ht="14.45">
      <c r="A163" s="1" t="s">
        <v>255</v>
      </c>
      <c r="B163" s="1" t="s">
        <v>21</v>
      </c>
      <c r="C163" s="1" t="s">
        <v>41</v>
      </c>
      <c r="D163" s="1">
        <v>2</v>
      </c>
      <c r="E163" s="1">
        <f t="shared" si="2"/>
        <v>4</v>
      </c>
      <c r="F163" s="7">
        <v>8250000</v>
      </c>
      <c r="G163" s="5"/>
    </row>
    <row r="164" spans="1:7" ht="14.45">
      <c r="A164" s="1" t="s">
        <v>256</v>
      </c>
      <c r="B164" s="1" t="s">
        <v>22</v>
      </c>
      <c r="C164" s="1" t="s">
        <v>42</v>
      </c>
      <c r="D164" s="1">
        <v>5</v>
      </c>
      <c r="E164" s="1">
        <f t="shared" si="2"/>
        <v>10</v>
      </c>
      <c r="F164" s="7">
        <v>8250000</v>
      </c>
      <c r="G164" s="5"/>
    </row>
    <row r="165" spans="1:7" ht="14.45">
      <c r="A165" s="1" t="s">
        <v>257</v>
      </c>
      <c r="B165" s="1" t="s">
        <v>3</v>
      </c>
      <c r="C165" s="1" t="s">
        <v>40</v>
      </c>
      <c r="D165" s="1">
        <v>7</v>
      </c>
      <c r="E165" s="1">
        <f t="shared" si="2"/>
        <v>14</v>
      </c>
      <c r="F165" s="7">
        <v>8166666</v>
      </c>
      <c r="G165" s="5"/>
    </row>
    <row r="166" spans="1:7" ht="14.45">
      <c r="A166" s="1" t="s">
        <v>258</v>
      </c>
      <c r="B166" s="1" t="s">
        <v>25</v>
      </c>
      <c r="C166" s="1" t="s">
        <v>39</v>
      </c>
      <c r="D166" s="1">
        <v>3</v>
      </c>
      <c r="E166" s="1">
        <f t="shared" si="2"/>
        <v>6</v>
      </c>
      <c r="F166" s="7">
        <v>8166666</v>
      </c>
      <c r="G166" s="5"/>
    </row>
    <row r="167" spans="1:7" ht="14.45">
      <c r="A167" s="1" t="s">
        <v>259</v>
      </c>
      <c r="B167" s="1" t="s">
        <v>11</v>
      </c>
      <c r="C167" s="1" t="s">
        <v>40</v>
      </c>
      <c r="D167" s="1">
        <v>7</v>
      </c>
      <c r="E167" s="1">
        <f t="shared" si="2"/>
        <v>14</v>
      </c>
      <c r="F167" s="7">
        <v>8166666</v>
      </c>
      <c r="G167" s="5"/>
    </row>
    <row r="168" spans="1:7" ht="14.45">
      <c r="A168" s="1" t="s">
        <v>260</v>
      </c>
      <c r="B168" s="1" t="s">
        <v>24</v>
      </c>
      <c r="C168" s="1" t="s">
        <v>40</v>
      </c>
      <c r="D168" s="1">
        <v>7</v>
      </c>
      <c r="E168" s="1">
        <f t="shared" si="2"/>
        <v>14</v>
      </c>
      <c r="F168" s="7">
        <v>8125000</v>
      </c>
      <c r="G168" s="5"/>
    </row>
    <row r="169" spans="1:7" ht="14.45">
      <c r="A169" s="1" t="s">
        <v>261</v>
      </c>
      <c r="B169" s="1" t="s">
        <v>20</v>
      </c>
      <c r="C169" s="1" t="s">
        <v>36</v>
      </c>
      <c r="D169" s="1">
        <v>8</v>
      </c>
      <c r="E169" s="1">
        <f t="shared" si="2"/>
        <v>16</v>
      </c>
      <c r="F169" s="7">
        <v>8000000</v>
      </c>
      <c r="G169" s="5"/>
    </row>
    <row r="170" spans="1:7" ht="14.45">
      <c r="A170" s="1" t="s">
        <v>262</v>
      </c>
      <c r="B170" s="1" t="s">
        <v>21</v>
      </c>
      <c r="C170" s="1" t="s">
        <v>43</v>
      </c>
      <c r="D170" s="1">
        <v>4</v>
      </c>
      <c r="E170" s="1">
        <f t="shared" si="2"/>
        <v>8</v>
      </c>
      <c r="F170" s="7">
        <v>8000000</v>
      </c>
      <c r="G170" s="5"/>
    </row>
    <row r="171" spans="1:7" ht="14.45">
      <c r="A171" s="1" t="s">
        <v>263</v>
      </c>
      <c r="B171" s="1" t="s">
        <v>14</v>
      </c>
      <c r="C171" s="1" t="s">
        <v>40</v>
      </c>
      <c r="D171" s="1">
        <v>5</v>
      </c>
      <c r="E171" s="1">
        <f t="shared" si="2"/>
        <v>10</v>
      </c>
      <c r="F171" s="7">
        <v>7937500</v>
      </c>
      <c r="G171" s="5"/>
    </row>
    <row r="172" spans="1:7" ht="14.45">
      <c r="A172" s="1" t="s">
        <v>264</v>
      </c>
      <c r="B172" s="1" t="s">
        <v>21</v>
      </c>
      <c r="C172" s="1" t="s">
        <v>40</v>
      </c>
      <c r="D172" s="1">
        <v>6</v>
      </c>
      <c r="E172" s="1">
        <f t="shared" si="2"/>
        <v>12</v>
      </c>
      <c r="F172" s="7">
        <v>7925000</v>
      </c>
      <c r="G172" s="5"/>
    </row>
    <row r="173" spans="1:7" ht="14.45">
      <c r="A173" s="1" t="s">
        <v>265</v>
      </c>
      <c r="B173" s="1" t="s">
        <v>16</v>
      </c>
      <c r="C173" s="1" t="s">
        <v>36</v>
      </c>
      <c r="D173" s="1">
        <v>2</v>
      </c>
      <c r="E173" s="1">
        <f t="shared" si="2"/>
        <v>4</v>
      </c>
      <c r="F173" s="7">
        <v>7900000</v>
      </c>
      <c r="G173" s="5"/>
    </row>
    <row r="174" spans="1:7" ht="14.45">
      <c r="A174" s="1" t="s">
        <v>266</v>
      </c>
      <c r="B174" s="1" t="s">
        <v>16</v>
      </c>
      <c r="C174" s="1" t="s">
        <v>40</v>
      </c>
      <c r="D174" s="1">
        <v>4</v>
      </c>
      <c r="E174" s="1">
        <f t="shared" si="2"/>
        <v>8</v>
      </c>
      <c r="F174" s="7">
        <v>7833333</v>
      </c>
      <c r="G174" s="5"/>
    </row>
    <row r="175" spans="1:7" ht="14.45">
      <c r="A175" s="1" t="s">
        <v>267</v>
      </c>
      <c r="B175" s="1" t="s">
        <v>29</v>
      </c>
      <c r="C175" s="1" t="s">
        <v>40</v>
      </c>
      <c r="D175" s="1">
        <v>5</v>
      </c>
      <c r="E175" s="1">
        <f t="shared" si="2"/>
        <v>10</v>
      </c>
      <c r="F175" s="7">
        <v>7750000</v>
      </c>
      <c r="G175" s="5"/>
    </row>
    <row r="176" spans="1:7" ht="14.45">
      <c r="A176" s="1" t="s">
        <v>268</v>
      </c>
      <c r="B176" s="1" t="s">
        <v>28</v>
      </c>
      <c r="C176" s="1" t="s">
        <v>40</v>
      </c>
      <c r="D176" s="1">
        <v>6</v>
      </c>
      <c r="E176" s="1">
        <f t="shared" si="2"/>
        <v>12</v>
      </c>
      <c r="F176" s="7">
        <v>7750000</v>
      </c>
      <c r="G176" s="5"/>
    </row>
    <row r="177" spans="1:7" ht="14.45">
      <c r="A177" s="1" t="s">
        <v>269</v>
      </c>
      <c r="B177" s="1" t="s">
        <v>2</v>
      </c>
      <c r="C177" s="1" t="s">
        <v>39</v>
      </c>
      <c r="D177" s="1">
        <v>2</v>
      </c>
      <c r="E177" s="1">
        <f t="shared" si="2"/>
        <v>4</v>
      </c>
      <c r="F177" s="7">
        <v>7750000</v>
      </c>
      <c r="G177" s="5"/>
    </row>
    <row r="178" spans="1:7" ht="14.45">
      <c r="A178" s="1" t="s">
        <v>270</v>
      </c>
      <c r="B178" s="1" t="s">
        <v>33</v>
      </c>
      <c r="C178" s="1" t="s">
        <v>40</v>
      </c>
      <c r="D178" s="1">
        <v>1</v>
      </c>
      <c r="E178" s="1">
        <f t="shared" si="2"/>
        <v>2</v>
      </c>
      <c r="F178" s="7">
        <v>7666667</v>
      </c>
      <c r="G178" s="5"/>
    </row>
    <row r="179" spans="1:7" ht="14.45">
      <c r="A179" s="1" t="s">
        <v>271</v>
      </c>
      <c r="B179" s="1" t="s">
        <v>11</v>
      </c>
      <c r="C179" s="1" t="s">
        <v>40</v>
      </c>
      <c r="D179" s="1">
        <v>8</v>
      </c>
      <c r="E179" s="1">
        <f t="shared" si="2"/>
        <v>16</v>
      </c>
      <c r="F179" s="7">
        <v>7666666</v>
      </c>
      <c r="G179" s="5"/>
    </row>
    <row r="180" spans="1:7" ht="14.45">
      <c r="A180" s="1" t="s">
        <v>272</v>
      </c>
      <c r="B180" s="1" t="s">
        <v>10</v>
      </c>
      <c r="C180" s="1" t="s">
        <v>38</v>
      </c>
      <c r="D180" s="1">
        <v>2</v>
      </c>
      <c r="E180" s="1">
        <f t="shared" si="2"/>
        <v>4</v>
      </c>
      <c r="F180" s="7">
        <v>7500000</v>
      </c>
      <c r="G180" s="5"/>
    </row>
    <row r="181" spans="1:7" ht="14.45">
      <c r="A181" s="1" t="s">
        <v>273</v>
      </c>
      <c r="B181" s="1" t="s">
        <v>29</v>
      </c>
      <c r="C181" s="1" t="s">
        <v>40</v>
      </c>
      <c r="D181" s="1">
        <v>5</v>
      </c>
      <c r="E181" s="1">
        <f t="shared" si="2"/>
        <v>10</v>
      </c>
      <c r="F181" s="7">
        <v>7500000</v>
      </c>
      <c r="G181" s="5"/>
    </row>
    <row r="182" spans="1:7" ht="14.45">
      <c r="A182" s="1" t="s">
        <v>274</v>
      </c>
      <c r="B182" s="1" t="s">
        <v>8</v>
      </c>
      <c r="C182" s="1" t="s">
        <v>36</v>
      </c>
      <c r="D182" s="1">
        <v>2</v>
      </c>
      <c r="E182" s="1">
        <f t="shared" si="2"/>
        <v>4</v>
      </c>
      <c r="F182" s="7">
        <v>7500000</v>
      </c>
      <c r="G182" s="5"/>
    </row>
    <row r="183" spans="1:7" ht="14.45">
      <c r="A183" s="1" t="s">
        <v>275</v>
      </c>
      <c r="B183" s="1" t="s">
        <v>2</v>
      </c>
      <c r="C183" s="1" t="s">
        <v>40</v>
      </c>
      <c r="D183" s="1">
        <v>8</v>
      </c>
      <c r="E183" s="1">
        <f t="shared" si="2"/>
        <v>16</v>
      </c>
      <c r="F183" s="7">
        <v>7500000</v>
      </c>
      <c r="G183" s="5"/>
    </row>
    <row r="184" spans="1:7" ht="14.45">
      <c r="A184" s="1" t="s">
        <v>276</v>
      </c>
      <c r="B184" s="1" t="s">
        <v>21</v>
      </c>
      <c r="C184" s="1" t="s">
        <v>40</v>
      </c>
      <c r="D184" s="1">
        <v>5</v>
      </c>
      <c r="E184" s="1">
        <f t="shared" si="2"/>
        <v>10</v>
      </c>
      <c r="F184" s="7">
        <v>7400000</v>
      </c>
      <c r="G184" s="5"/>
    </row>
    <row r="185" spans="1:7" ht="14.45">
      <c r="A185" s="1" t="s">
        <v>277</v>
      </c>
      <c r="B185" s="1" t="s">
        <v>11</v>
      </c>
      <c r="C185" s="1" t="s">
        <v>40</v>
      </c>
      <c r="D185" s="1">
        <v>2</v>
      </c>
      <c r="E185" s="1">
        <f t="shared" si="2"/>
        <v>4</v>
      </c>
      <c r="F185" s="7">
        <v>7333333</v>
      </c>
      <c r="G185" s="5"/>
    </row>
    <row r="186" spans="1:7" ht="14.45">
      <c r="A186" s="1" t="s">
        <v>278</v>
      </c>
      <c r="B186" s="1" t="s">
        <v>15</v>
      </c>
      <c r="C186" s="1" t="s">
        <v>40</v>
      </c>
      <c r="D186" s="1">
        <v>2</v>
      </c>
      <c r="E186" s="1">
        <f t="shared" si="2"/>
        <v>4</v>
      </c>
      <c r="F186" s="7">
        <v>7300000</v>
      </c>
      <c r="G186" s="5"/>
    </row>
    <row r="187" spans="1:7" ht="14.45">
      <c r="A187" s="1" t="s">
        <v>279</v>
      </c>
      <c r="B187" s="1" t="s">
        <v>7</v>
      </c>
      <c r="C187" s="1" t="s">
        <v>38</v>
      </c>
      <c r="D187" s="1">
        <v>2</v>
      </c>
      <c r="E187" s="1">
        <f t="shared" si="2"/>
        <v>4</v>
      </c>
      <c r="F187" s="7">
        <v>7285714</v>
      </c>
      <c r="G187" s="5"/>
    </row>
    <row r="188" spans="1:7" ht="14.45">
      <c r="A188" s="1" t="s">
        <v>280</v>
      </c>
      <c r="B188" s="1" t="s">
        <v>6</v>
      </c>
      <c r="C188" s="1" t="s">
        <v>42</v>
      </c>
      <c r="D188" s="1">
        <v>5</v>
      </c>
      <c r="E188" s="1">
        <f t="shared" si="2"/>
        <v>10</v>
      </c>
      <c r="F188" s="7">
        <v>7050000</v>
      </c>
      <c r="G188" s="5"/>
    </row>
    <row r="189" spans="1:7" ht="14.45">
      <c r="A189" s="1" t="s">
        <v>281</v>
      </c>
      <c r="B189" s="1" t="s">
        <v>19</v>
      </c>
      <c r="C189" s="1" t="s">
        <v>39</v>
      </c>
      <c r="D189" s="1">
        <v>6</v>
      </c>
      <c r="E189" s="1">
        <f t="shared" si="2"/>
        <v>12</v>
      </c>
      <c r="F189" s="7">
        <v>7000000</v>
      </c>
      <c r="G189" s="5"/>
    </row>
    <row r="190" spans="1:7" ht="14.45">
      <c r="A190" s="1" t="s">
        <v>282</v>
      </c>
      <c r="B190" s="1" t="s">
        <v>21</v>
      </c>
      <c r="C190" s="1" t="s">
        <v>40</v>
      </c>
      <c r="D190" s="1">
        <v>8</v>
      </c>
      <c r="E190" s="1">
        <f t="shared" si="2"/>
        <v>16</v>
      </c>
      <c r="F190" s="7">
        <v>7000000</v>
      </c>
      <c r="G190" s="5"/>
    </row>
    <row r="191" spans="1:7" ht="14.45">
      <c r="A191" s="1" t="s">
        <v>283</v>
      </c>
      <c r="B191" s="1" t="s">
        <v>13</v>
      </c>
      <c r="C191" s="1" t="s">
        <v>40</v>
      </c>
      <c r="D191" s="1">
        <v>4</v>
      </c>
      <c r="E191" s="1">
        <f t="shared" si="2"/>
        <v>8</v>
      </c>
      <c r="F191" s="7">
        <v>7000000</v>
      </c>
      <c r="G191" s="5"/>
    </row>
    <row r="192" spans="1:7" ht="14.45">
      <c r="A192" s="1" t="s">
        <v>284</v>
      </c>
      <c r="B192" s="1" t="s">
        <v>13</v>
      </c>
      <c r="C192" s="1" t="s">
        <v>40</v>
      </c>
      <c r="D192" s="1">
        <v>5</v>
      </c>
      <c r="E192" s="1">
        <f t="shared" si="2"/>
        <v>10</v>
      </c>
      <c r="F192" s="7">
        <v>7000000</v>
      </c>
      <c r="G192" s="5"/>
    </row>
    <row r="193" spans="1:7" ht="14.45">
      <c r="A193" s="1" t="s">
        <v>285</v>
      </c>
      <c r="B193" s="1" t="s">
        <v>18</v>
      </c>
      <c r="C193" s="1" t="s">
        <v>40</v>
      </c>
      <c r="D193" s="1">
        <v>4</v>
      </c>
      <c r="E193" s="1">
        <f t="shared" si="2"/>
        <v>8</v>
      </c>
      <c r="F193" s="7">
        <v>7000000</v>
      </c>
      <c r="G193" s="5"/>
    </row>
    <row r="194" spans="1:7" ht="14.45">
      <c r="A194" s="1" t="s">
        <v>286</v>
      </c>
      <c r="B194" s="1" t="s">
        <v>11</v>
      </c>
      <c r="C194" s="1" t="s">
        <v>40</v>
      </c>
      <c r="D194" s="1">
        <v>3</v>
      </c>
      <c r="E194" s="1">
        <f t="shared" ref="E194:E257" si="3">D194*2</f>
        <v>6</v>
      </c>
      <c r="F194" s="7">
        <v>7000000</v>
      </c>
      <c r="G194" s="5"/>
    </row>
    <row r="195" spans="1:7" ht="14.45">
      <c r="A195" s="1" t="s">
        <v>287</v>
      </c>
      <c r="B195" s="1" t="s">
        <v>21</v>
      </c>
      <c r="C195" s="1" t="s">
        <v>40</v>
      </c>
      <c r="D195" s="1">
        <v>3</v>
      </c>
      <c r="E195" s="1">
        <f t="shared" si="3"/>
        <v>6</v>
      </c>
      <c r="F195" s="7">
        <v>7000000</v>
      </c>
      <c r="G195" s="5"/>
    </row>
    <row r="196" spans="1:7" ht="14.45">
      <c r="A196" s="1" t="s">
        <v>288</v>
      </c>
      <c r="B196" s="1" t="s">
        <v>26</v>
      </c>
      <c r="C196" s="1" t="s">
        <v>42</v>
      </c>
      <c r="D196" s="1">
        <v>1</v>
      </c>
      <c r="E196" s="1">
        <f t="shared" si="3"/>
        <v>2</v>
      </c>
      <c r="F196" s="7">
        <v>6825000</v>
      </c>
      <c r="G196" s="5"/>
    </row>
    <row r="197" spans="1:7" ht="14.45">
      <c r="A197" s="1" t="s">
        <v>289</v>
      </c>
      <c r="B197" s="1" t="s">
        <v>13</v>
      </c>
      <c r="C197" s="1" t="s">
        <v>40</v>
      </c>
      <c r="D197" s="1">
        <v>2</v>
      </c>
      <c r="E197" s="1">
        <f t="shared" si="3"/>
        <v>4</v>
      </c>
      <c r="F197" s="7">
        <v>6750000</v>
      </c>
      <c r="G197" s="5"/>
    </row>
    <row r="198" spans="1:7" ht="14.45">
      <c r="A198" s="1" t="s">
        <v>290</v>
      </c>
      <c r="B198" s="1" t="s">
        <v>25</v>
      </c>
      <c r="C198" s="1" t="s">
        <v>42</v>
      </c>
      <c r="D198" s="1">
        <v>1</v>
      </c>
      <c r="E198" s="1">
        <f t="shared" si="3"/>
        <v>2</v>
      </c>
      <c r="F198" s="7">
        <v>6750000</v>
      </c>
      <c r="G198" s="5"/>
    </row>
    <row r="199" spans="1:7" ht="14.45">
      <c r="A199" s="1" t="s">
        <v>291</v>
      </c>
      <c r="B199" s="1" t="s">
        <v>8</v>
      </c>
      <c r="C199" s="1" t="s">
        <v>39</v>
      </c>
      <c r="D199" s="1">
        <v>3</v>
      </c>
      <c r="E199" s="1">
        <f t="shared" si="3"/>
        <v>6</v>
      </c>
      <c r="F199" s="7">
        <v>6700000</v>
      </c>
      <c r="G199" s="5"/>
    </row>
    <row r="200" spans="1:7" ht="14.45">
      <c r="A200" s="1" t="s">
        <v>292</v>
      </c>
      <c r="B200" s="1" t="s">
        <v>13</v>
      </c>
      <c r="C200" s="1" t="s">
        <v>36</v>
      </c>
      <c r="D200" s="1">
        <v>4</v>
      </c>
      <c r="E200" s="1">
        <f t="shared" si="3"/>
        <v>8</v>
      </c>
      <c r="F200" s="7">
        <v>6700000</v>
      </c>
      <c r="G200" s="5"/>
    </row>
    <row r="201" spans="1:7" ht="14.45">
      <c r="A201" s="1" t="s">
        <v>293</v>
      </c>
      <c r="B201" s="1" t="s">
        <v>10</v>
      </c>
      <c r="C201" s="1" t="s">
        <v>40</v>
      </c>
      <c r="D201" s="1">
        <v>2</v>
      </c>
      <c r="E201" s="1">
        <f t="shared" si="3"/>
        <v>4</v>
      </c>
      <c r="F201" s="7">
        <v>6525000</v>
      </c>
      <c r="G201" s="5"/>
    </row>
    <row r="202" spans="1:7" ht="14.45">
      <c r="A202" s="1" t="s">
        <v>294</v>
      </c>
      <c r="B202" s="1" t="s">
        <v>21</v>
      </c>
      <c r="C202" s="1" t="s">
        <v>39</v>
      </c>
      <c r="D202" s="1">
        <v>2</v>
      </c>
      <c r="E202" s="1">
        <f t="shared" si="3"/>
        <v>4</v>
      </c>
      <c r="F202" s="7">
        <v>6500000</v>
      </c>
      <c r="G202" s="5"/>
    </row>
    <row r="203" spans="1:7" ht="14.45">
      <c r="A203" s="1" t="s">
        <v>295</v>
      </c>
      <c r="B203" s="1" t="s">
        <v>6</v>
      </c>
      <c r="C203" s="1" t="s">
        <v>38</v>
      </c>
      <c r="D203" s="1">
        <v>4</v>
      </c>
      <c r="E203" s="1">
        <f t="shared" si="3"/>
        <v>8</v>
      </c>
      <c r="F203" s="7">
        <v>6500000</v>
      </c>
      <c r="G203" s="5"/>
    </row>
    <row r="204" spans="1:7" ht="14.45">
      <c r="A204" s="1" t="s">
        <v>296</v>
      </c>
      <c r="B204" s="1" t="s">
        <v>7</v>
      </c>
      <c r="C204" s="1" t="s">
        <v>40</v>
      </c>
      <c r="D204" s="1">
        <v>2</v>
      </c>
      <c r="E204" s="1">
        <f t="shared" si="3"/>
        <v>4</v>
      </c>
      <c r="F204" s="7">
        <v>6500000</v>
      </c>
      <c r="G204" s="5"/>
    </row>
    <row r="205" spans="1:7" ht="14.45">
      <c r="A205" s="1" t="s">
        <v>297</v>
      </c>
      <c r="B205" s="1" t="s">
        <v>23</v>
      </c>
      <c r="C205" s="1" t="s">
        <v>36</v>
      </c>
      <c r="D205" s="1">
        <v>3</v>
      </c>
      <c r="E205" s="1">
        <f t="shared" si="3"/>
        <v>6</v>
      </c>
      <c r="F205" s="7">
        <v>6500000</v>
      </c>
      <c r="G205" s="5"/>
    </row>
    <row r="206" spans="1:7" ht="14.45">
      <c r="A206" s="1" t="s">
        <v>298</v>
      </c>
      <c r="B206" s="1" t="s">
        <v>20</v>
      </c>
      <c r="C206" s="1" t="s">
        <v>38</v>
      </c>
      <c r="D206" s="1">
        <v>3</v>
      </c>
      <c r="E206" s="1">
        <f t="shared" si="3"/>
        <v>6</v>
      </c>
      <c r="F206" s="7">
        <v>6500000</v>
      </c>
      <c r="G206" s="5"/>
    </row>
    <row r="207" spans="1:7" ht="14.45">
      <c r="A207" s="1" t="s">
        <v>299</v>
      </c>
      <c r="B207" s="1" t="s">
        <v>32</v>
      </c>
      <c r="C207" s="1" t="s">
        <v>40</v>
      </c>
      <c r="D207" s="1">
        <v>4</v>
      </c>
      <c r="E207" s="1">
        <f t="shared" si="3"/>
        <v>8</v>
      </c>
      <c r="F207" s="7">
        <v>6500000</v>
      </c>
      <c r="G207" s="5"/>
    </row>
    <row r="208" spans="1:7" ht="14.45">
      <c r="A208" s="1" t="s">
        <v>300</v>
      </c>
      <c r="B208" s="1" t="s">
        <v>14</v>
      </c>
      <c r="C208" s="1" t="s">
        <v>43</v>
      </c>
      <c r="D208" s="1">
        <v>6</v>
      </c>
      <c r="E208" s="1">
        <f t="shared" si="3"/>
        <v>12</v>
      </c>
      <c r="F208" s="7">
        <v>6500000</v>
      </c>
      <c r="G208" s="5"/>
    </row>
    <row r="209" spans="1:7" ht="14.45">
      <c r="A209" s="1" t="s">
        <v>301</v>
      </c>
      <c r="B209" s="1" t="s">
        <v>22</v>
      </c>
      <c r="C209" s="1" t="s">
        <v>40</v>
      </c>
      <c r="D209" s="1">
        <v>2</v>
      </c>
      <c r="E209" s="1">
        <f t="shared" si="3"/>
        <v>4</v>
      </c>
      <c r="F209" s="7">
        <v>6500000</v>
      </c>
      <c r="G209" s="5"/>
    </row>
    <row r="210" spans="1:7" ht="14.45">
      <c r="A210" s="1" t="s">
        <v>302</v>
      </c>
      <c r="B210" s="1" t="s">
        <v>33</v>
      </c>
      <c r="C210" s="1" t="s">
        <v>40</v>
      </c>
      <c r="D210" s="1">
        <v>4</v>
      </c>
      <c r="E210" s="1">
        <f t="shared" si="3"/>
        <v>8</v>
      </c>
      <c r="F210" s="7">
        <v>6475000</v>
      </c>
      <c r="G210" s="5"/>
    </row>
    <row r="211" spans="1:7" ht="14.45">
      <c r="A211" s="1" t="s">
        <v>303</v>
      </c>
      <c r="B211" s="1" t="s">
        <v>30</v>
      </c>
      <c r="C211" s="1" t="s">
        <v>40</v>
      </c>
      <c r="D211" s="1">
        <v>6</v>
      </c>
      <c r="E211" s="1">
        <f t="shared" si="3"/>
        <v>12</v>
      </c>
      <c r="F211" s="7">
        <v>6458333</v>
      </c>
      <c r="G211" s="5"/>
    </row>
    <row r="212" spans="1:7" ht="14.45">
      <c r="A212" s="1" t="s">
        <v>304</v>
      </c>
      <c r="B212" s="1" t="s">
        <v>5</v>
      </c>
      <c r="C212" s="1" t="s">
        <v>40</v>
      </c>
      <c r="D212" s="1">
        <v>1</v>
      </c>
      <c r="E212" s="1">
        <f t="shared" si="3"/>
        <v>2</v>
      </c>
      <c r="F212" s="7">
        <v>6346755</v>
      </c>
      <c r="G212" s="5"/>
    </row>
    <row r="213" spans="1:7" ht="14.45">
      <c r="A213" s="1" t="s">
        <v>305</v>
      </c>
      <c r="B213" s="1" t="s">
        <v>33</v>
      </c>
      <c r="C213" s="1" t="s">
        <v>39</v>
      </c>
      <c r="D213" s="1">
        <v>2</v>
      </c>
      <c r="E213" s="1">
        <f t="shared" si="3"/>
        <v>4</v>
      </c>
      <c r="F213" s="7">
        <v>6300000</v>
      </c>
      <c r="G213" s="5"/>
    </row>
    <row r="214" spans="1:7" ht="14.45">
      <c r="A214" s="1" t="s">
        <v>306</v>
      </c>
      <c r="B214" s="1" t="s">
        <v>20</v>
      </c>
      <c r="C214" s="1" t="s">
        <v>40</v>
      </c>
      <c r="D214" s="1">
        <v>3</v>
      </c>
      <c r="E214" s="1">
        <f t="shared" si="3"/>
        <v>6</v>
      </c>
      <c r="F214" s="7">
        <v>6300000</v>
      </c>
      <c r="G214" s="5"/>
    </row>
    <row r="215" spans="1:7" ht="14.45">
      <c r="A215" s="1" t="s">
        <v>307</v>
      </c>
      <c r="B215" s="1" t="s">
        <v>12</v>
      </c>
      <c r="C215" s="1" t="s">
        <v>42</v>
      </c>
      <c r="D215" s="1">
        <v>1</v>
      </c>
      <c r="E215" s="1">
        <f t="shared" si="3"/>
        <v>2</v>
      </c>
      <c r="F215" s="7">
        <v>6275000</v>
      </c>
      <c r="G215" s="5"/>
    </row>
    <row r="216" spans="1:7" ht="14.45">
      <c r="A216" s="1" t="s">
        <v>308</v>
      </c>
      <c r="B216" s="1" t="s">
        <v>32</v>
      </c>
      <c r="C216" s="1" t="s">
        <v>38</v>
      </c>
      <c r="D216" s="1">
        <v>1</v>
      </c>
      <c r="E216" s="1">
        <f t="shared" si="3"/>
        <v>2</v>
      </c>
      <c r="F216" s="7">
        <v>6250000</v>
      </c>
      <c r="G216" s="5"/>
    </row>
    <row r="217" spans="1:7" ht="14.45">
      <c r="A217" s="1" t="s">
        <v>309</v>
      </c>
      <c r="B217" s="1" t="s">
        <v>6</v>
      </c>
      <c r="C217" s="1" t="s">
        <v>39</v>
      </c>
      <c r="D217" s="1">
        <v>3</v>
      </c>
      <c r="E217" s="1">
        <f t="shared" si="3"/>
        <v>6</v>
      </c>
      <c r="F217" s="7">
        <v>6100000</v>
      </c>
      <c r="G217" s="5"/>
    </row>
    <row r="218" spans="1:7" ht="14.45">
      <c r="A218" s="1" t="s">
        <v>310</v>
      </c>
      <c r="B218" s="1" t="s">
        <v>30</v>
      </c>
      <c r="C218" s="1" t="s">
        <v>39</v>
      </c>
      <c r="D218" s="1">
        <v>4</v>
      </c>
      <c r="E218" s="1">
        <f t="shared" si="3"/>
        <v>8</v>
      </c>
      <c r="F218" s="7">
        <v>6083333</v>
      </c>
      <c r="G218" s="5"/>
    </row>
    <row r="219" spans="1:7" ht="14.45">
      <c r="A219" s="1" t="s">
        <v>311</v>
      </c>
      <c r="B219" s="1" t="s">
        <v>12</v>
      </c>
      <c r="C219" s="1" t="s">
        <v>39</v>
      </c>
      <c r="D219" s="1">
        <v>6</v>
      </c>
      <c r="E219" s="1">
        <f t="shared" si="3"/>
        <v>12</v>
      </c>
      <c r="F219" s="7">
        <v>6050000</v>
      </c>
      <c r="G219" s="5"/>
    </row>
    <row r="220" spans="1:7" ht="14.45">
      <c r="A220" s="1" t="s">
        <v>312</v>
      </c>
      <c r="B220" s="1" t="s">
        <v>10</v>
      </c>
      <c r="C220" s="1" t="s">
        <v>36</v>
      </c>
      <c r="D220" s="1">
        <v>3</v>
      </c>
      <c r="E220" s="1">
        <f t="shared" si="3"/>
        <v>6</v>
      </c>
      <c r="F220" s="7">
        <v>6033333</v>
      </c>
      <c r="G220" s="5"/>
    </row>
    <row r="221" spans="1:7" ht="14.45">
      <c r="A221" s="1" t="s">
        <v>313</v>
      </c>
      <c r="B221" s="1" t="s">
        <v>13</v>
      </c>
      <c r="C221" s="1" t="s">
        <v>40</v>
      </c>
      <c r="D221" s="1">
        <v>1</v>
      </c>
      <c r="E221" s="1">
        <f t="shared" si="3"/>
        <v>2</v>
      </c>
      <c r="F221" s="7">
        <v>6000000</v>
      </c>
      <c r="G221" s="5"/>
    </row>
    <row r="222" spans="1:7" ht="14.45">
      <c r="A222" s="1" t="s">
        <v>314</v>
      </c>
      <c r="B222" s="1" t="s">
        <v>23</v>
      </c>
      <c r="C222" s="1" t="s">
        <v>40</v>
      </c>
      <c r="D222" s="1">
        <v>3</v>
      </c>
      <c r="E222" s="1">
        <f t="shared" si="3"/>
        <v>6</v>
      </c>
      <c r="F222" s="7">
        <v>6000000</v>
      </c>
      <c r="G222" s="5"/>
    </row>
    <row r="223" spans="1:7" ht="14.45">
      <c r="A223" s="1" t="s">
        <v>315</v>
      </c>
      <c r="B223" s="1" t="s">
        <v>16</v>
      </c>
      <c r="C223" s="1" t="s">
        <v>40</v>
      </c>
      <c r="D223" s="1">
        <v>3</v>
      </c>
      <c r="E223" s="1">
        <f t="shared" si="3"/>
        <v>6</v>
      </c>
      <c r="F223" s="7">
        <v>6000000</v>
      </c>
      <c r="G223" s="5"/>
    </row>
    <row r="224" spans="1:7" ht="14.45">
      <c r="A224" s="1" t="s">
        <v>316</v>
      </c>
      <c r="B224" s="1" t="s">
        <v>6</v>
      </c>
      <c r="C224" s="1" t="s">
        <v>41</v>
      </c>
      <c r="D224" s="1">
        <v>4</v>
      </c>
      <c r="E224" s="1">
        <f t="shared" si="3"/>
        <v>8</v>
      </c>
      <c r="F224" s="7">
        <v>6000000</v>
      </c>
      <c r="G224" s="5"/>
    </row>
    <row r="225" spans="1:7" ht="14.45">
      <c r="A225" s="1" t="s">
        <v>317</v>
      </c>
      <c r="B225" s="1" t="s">
        <v>23</v>
      </c>
      <c r="C225" s="1" t="s">
        <v>41</v>
      </c>
      <c r="D225" s="1">
        <v>8</v>
      </c>
      <c r="E225" s="1">
        <f t="shared" si="3"/>
        <v>16</v>
      </c>
      <c r="F225" s="7">
        <v>6000000</v>
      </c>
      <c r="G225" s="5"/>
    </row>
    <row r="226" spans="1:7" ht="14.45">
      <c r="A226" s="1" t="s">
        <v>318</v>
      </c>
      <c r="B226" s="1" t="s">
        <v>31</v>
      </c>
      <c r="C226" s="1" t="s">
        <v>40</v>
      </c>
      <c r="D226" s="1">
        <v>9</v>
      </c>
      <c r="E226" s="1">
        <f t="shared" si="3"/>
        <v>18</v>
      </c>
      <c r="F226" s="7">
        <v>6000000</v>
      </c>
      <c r="G226" s="5"/>
    </row>
    <row r="227" spans="1:7" ht="14.45">
      <c r="A227" s="1" t="s">
        <v>319</v>
      </c>
      <c r="B227" s="1" t="s">
        <v>23</v>
      </c>
      <c r="C227" s="1" t="s">
        <v>39</v>
      </c>
      <c r="D227" s="1">
        <v>6</v>
      </c>
      <c r="E227" s="1">
        <f t="shared" si="3"/>
        <v>12</v>
      </c>
      <c r="F227" s="7">
        <v>6000000</v>
      </c>
      <c r="G227" s="5"/>
    </row>
    <row r="228" spans="1:7" ht="14.45">
      <c r="A228" s="1" t="s">
        <v>320</v>
      </c>
      <c r="B228" s="1" t="s">
        <v>12</v>
      </c>
      <c r="C228" s="1" t="s">
        <v>40</v>
      </c>
      <c r="D228" s="1">
        <v>4</v>
      </c>
      <c r="E228" s="1">
        <f t="shared" si="3"/>
        <v>8</v>
      </c>
      <c r="F228" s="7">
        <v>6000000</v>
      </c>
      <c r="G228" s="5"/>
    </row>
    <row r="229" spans="1:7" ht="14.45">
      <c r="A229" s="1" t="s">
        <v>321</v>
      </c>
      <c r="B229" s="1" t="s">
        <v>25</v>
      </c>
      <c r="C229" s="1" t="s">
        <v>39</v>
      </c>
      <c r="D229" s="1">
        <v>9</v>
      </c>
      <c r="E229" s="1">
        <f t="shared" si="3"/>
        <v>18</v>
      </c>
      <c r="F229" s="7">
        <v>5950000</v>
      </c>
      <c r="G229" s="5"/>
    </row>
    <row r="230" spans="1:7" ht="14.45">
      <c r="A230" s="1" t="s">
        <v>322</v>
      </c>
      <c r="B230" s="1" t="s">
        <v>30</v>
      </c>
      <c r="C230" s="1" t="s">
        <v>42</v>
      </c>
      <c r="D230" s="1">
        <v>6</v>
      </c>
      <c r="E230" s="1">
        <f t="shared" si="3"/>
        <v>12</v>
      </c>
      <c r="F230" s="7">
        <v>5900000</v>
      </c>
      <c r="G230" s="5"/>
    </row>
    <row r="231" spans="1:7" ht="14.45">
      <c r="A231" s="1" t="s">
        <v>323</v>
      </c>
      <c r="B231" s="1" t="s">
        <v>7</v>
      </c>
      <c r="C231" s="1" t="s">
        <v>40</v>
      </c>
      <c r="D231" s="1">
        <v>8</v>
      </c>
      <c r="E231" s="1">
        <f t="shared" si="3"/>
        <v>16</v>
      </c>
      <c r="F231" s="7">
        <v>5850000</v>
      </c>
      <c r="G231" s="5"/>
    </row>
    <row r="232" spans="1:7" ht="14.45">
      <c r="A232" s="1" t="s">
        <v>324</v>
      </c>
      <c r="B232" s="1" t="s">
        <v>25</v>
      </c>
      <c r="C232" s="1" t="s">
        <v>38</v>
      </c>
      <c r="D232" s="1">
        <v>5</v>
      </c>
      <c r="E232" s="1">
        <f t="shared" si="3"/>
        <v>10</v>
      </c>
      <c r="F232" s="7">
        <v>5750000</v>
      </c>
      <c r="G232" s="5"/>
    </row>
    <row r="233" spans="1:7" ht="14.45">
      <c r="A233" s="1" t="s">
        <v>325</v>
      </c>
      <c r="B233" s="1" t="s">
        <v>9</v>
      </c>
      <c r="C233" s="1" t="s">
        <v>41</v>
      </c>
      <c r="D233" s="1">
        <v>4</v>
      </c>
      <c r="E233" s="1">
        <f t="shared" si="3"/>
        <v>8</v>
      </c>
      <c r="F233" s="7">
        <v>5700000</v>
      </c>
      <c r="G233" s="5"/>
    </row>
    <row r="234" spans="1:7" ht="14.45">
      <c r="A234" s="1" t="s">
        <v>326</v>
      </c>
      <c r="B234" s="1" t="s">
        <v>21</v>
      </c>
      <c r="C234" s="1" t="s">
        <v>40</v>
      </c>
      <c r="D234" s="1">
        <v>5</v>
      </c>
      <c r="E234" s="1">
        <f t="shared" si="3"/>
        <v>10</v>
      </c>
      <c r="F234" s="7">
        <v>5625000</v>
      </c>
      <c r="G234" s="5"/>
    </row>
    <row r="235" spans="1:7" ht="14.45">
      <c r="A235" s="1" t="s">
        <v>327</v>
      </c>
      <c r="B235" s="1" t="s">
        <v>5</v>
      </c>
      <c r="C235" s="1" t="s">
        <v>40</v>
      </c>
      <c r="D235" s="1">
        <v>5</v>
      </c>
      <c r="E235" s="1">
        <f t="shared" si="3"/>
        <v>10</v>
      </c>
      <c r="F235" s="7">
        <v>5600000</v>
      </c>
      <c r="G235" s="5"/>
    </row>
    <row r="236" spans="1:7" ht="14.45">
      <c r="A236" s="1" t="s">
        <v>328</v>
      </c>
      <c r="B236" s="1" t="s">
        <v>10</v>
      </c>
      <c r="C236" s="1" t="s">
        <v>39</v>
      </c>
      <c r="D236" s="1">
        <v>6</v>
      </c>
      <c r="E236" s="1">
        <f t="shared" si="3"/>
        <v>12</v>
      </c>
      <c r="F236" s="7">
        <v>5587500</v>
      </c>
      <c r="G236" s="5"/>
    </row>
    <row r="237" spans="1:7" ht="14.45">
      <c r="A237" s="1" t="s">
        <v>329</v>
      </c>
      <c r="B237" s="1" t="s">
        <v>28</v>
      </c>
      <c r="C237" s="1" t="s">
        <v>40</v>
      </c>
      <c r="D237" s="1">
        <v>2</v>
      </c>
      <c r="E237" s="1">
        <f t="shared" si="3"/>
        <v>4</v>
      </c>
      <c r="F237" s="7">
        <v>5550000</v>
      </c>
      <c r="G237" s="5"/>
    </row>
    <row r="238" spans="1:7" ht="14.45">
      <c r="A238" s="1" t="s">
        <v>330</v>
      </c>
      <c r="B238" s="1" t="s">
        <v>33</v>
      </c>
      <c r="C238" s="1" t="s">
        <v>40</v>
      </c>
      <c r="D238" s="1">
        <v>2</v>
      </c>
      <c r="E238" s="1">
        <f t="shared" si="3"/>
        <v>4</v>
      </c>
      <c r="F238" s="7">
        <v>5500000</v>
      </c>
      <c r="G238" s="5"/>
    </row>
    <row r="239" spans="1:7" ht="14.45">
      <c r="A239" s="1" t="s">
        <v>331</v>
      </c>
      <c r="B239" s="1" t="s">
        <v>21</v>
      </c>
      <c r="C239" s="1" t="s">
        <v>40</v>
      </c>
      <c r="D239" s="1">
        <v>2</v>
      </c>
      <c r="E239" s="1">
        <f t="shared" si="3"/>
        <v>4</v>
      </c>
      <c r="F239" s="7">
        <v>5500000</v>
      </c>
      <c r="G239" s="5"/>
    </row>
    <row r="240" spans="1:7" ht="14.45">
      <c r="A240" s="1" t="s">
        <v>332</v>
      </c>
      <c r="B240" s="1" t="s">
        <v>29</v>
      </c>
      <c r="C240" s="1" t="s">
        <v>40</v>
      </c>
      <c r="D240" s="1">
        <v>1</v>
      </c>
      <c r="E240" s="1">
        <f t="shared" si="3"/>
        <v>2</v>
      </c>
      <c r="F240" s="7">
        <v>5500000</v>
      </c>
      <c r="G240" s="5"/>
    </row>
    <row r="241" spans="1:7" ht="14.45">
      <c r="A241" s="1" t="s">
        <v>333</v>
      </c>
      <c r="B241" s="1" t="s">
        <v>28</v>
      </c>
      <c r="C241" s="1" t="s">
        <v>40</v>
      </c>
      <c r="D241" s="1">
        <v>2</v>
      </c>
      <c r="E241" s="1">
        <f t="shared" si="3"/>
        <v>4</v>
      </c>
      <c r="F241" s="7">
        <v>5500000</v>
      </c>
      <c r="G241" s="5"/>
    </row>
    <row r="242" spans="1:7" ht="14.45">
      <c r="A242" s="1" t="s">
        <v>334</v>
      </c>
      <c r="B242" s="1" t="s">
        <v>19</v>
      </c>
      <c r="C242" s="1" t="s">
        <v>38</v>
      </c>
      <c r="D242" s="1">
        <v>2</v>
      </c>
      <c r="E242" s="1">
        <f t="shared" si="3"/>
        <v>4</v>
      </c>
      <c r="F242" s="7">
        <v>5333333</v>
      </c>
      <c r="G242" s="5"/>
    </row>
    <row r="243" spans="1:7" ht="14.45">
      <c r="A243" s="1" t="s">
        <v>335</v>
      </c>
      <c r="B243" s="1" t="s">
        <v>30</v>
      </c>
      <c r="C243" s="1" t="s">
        <v>40</v>
      </c>
      <c r="D243" s="1">
        <v>2</v>
      </c>
      <c r="E243" s="1">
        <f t="shared" si="3"/>
        <v>4</v>
      </c>
      <c r="F243" s="7">
        <v>5300000</v>
      </c>
      <c r="G243" s="5"/>
    </row>
    <row r="244" spans="1:7" ht="14.45">
      <c r="A244" s="1" t="s">
        <v>336</v>
      </c>
      <c r="B244" s="1" t="s">
        <v>29</v>
      </c>
      <c r="C244" s="1" t="s">
        <v>40</v>
      </c>
      <c r="D244" s="1">
        <v>2</v>
      </c>
      <c r="E244" s="1">
        <f t="shared" si="3"/>
        <v>4</v>
      </c>
      <c r="F244" s="7">
        <v>5300000</v>
      </c>
      <c r="G244" s="5"/>
    </row>
    <row r="245" spans="1:7" ht="14.45">
      <c r="A245" s="1" t="s">
        <v>337</v>
      </c>
      <c r="B245" s="1" t="s">
        <v>32</v>
      </c>
      <c r="C245" s="1" t="s">
        <v>40</v>
      </c>
      <c r="D245" s="1">
        <v>2</v>
      </c>
      <c r="E245" s="1">
        <f t="shared" si="3"/>
        <v>4</v>
      </c>
      <c r="F245" s="7">
        <v>5300000</v>
      </c>
      <c r="G245" s="5"/>
    </row>
    <row r="246" spans="1:7" ht="14.45">
      <c r="A246" s="1" t="s">
        <v>338</v>
      </c>
      <c r="B246" s="1" t="s">
        <v>9</v>
      </c>
      <c r="C246" s="1" t="s">
        <v>40</v>
      </c>
      <c r="D246" s="1">
        <v>2</v>
      </c>
      <c r="E246" s="1">
        <f t="shared" si="3"/>
        <v>4</v>
      </c>
      <c r="F246" s="7">
        <v>5214285</v>
      </c>
      <c r="G246" s="5"/>
    </row>
    <row r="247" spans="1:7" ht="14.45">
      <c r="A247" s="1" t="s">
        <v>339</v>
      </c>
      <c r="B247" s="1" t="s">
        <v>5</v>
      </c>
      <c r="C247" s="1" t="s">
        <v>40</v>
      </c>
      <c r="D247" s="1">
        <v>3</v>
      </c>
      <c r="E247" s="1">
        <f t="shared" si="3"/>
        <v>6</v>
      </c>
      <c r="F247" s="7">
        <v>5165000</v>
      </c>
      <c r="G247" s="5"/>
    </row>
    <row r="248" spans="1:7" ht="14.45">
      <c r="A248" s="1" t="s">
        <v>340</v>
      </c>
      <c r="B248" s="1" t="s">
        <v>13</v>
      </c>
      <c r="C248" s="1" t="s">
        <v>38</v>
      </c>
      <c r="D248" s="1">
        <v>1</v>
      </c>
      <c r="E248" s="1">
        <f t="shared" si="3"/>
        <v>2</v>
      </c>
      <c r="F248" s="7">
        <v>5125000</v>
      </c>
      <c r="G248" s="5"/>
    </row>
    <row r="249" spans="1:7" ht="14.45">
      <c r="A249" s="1" t="s">
        <v>341</v>
      </c>
      <c r="B249" s="1" t="s">
        <v>24</v>
      </c>
      <c r="C249" s="1" t="s">
        <v>41</v>
      </c>
      <c r="D249" s="1">
        <v>2</v>
      </c>
      <c r="E249" s="1">
        <f t="shared" si="3"/>
        <v>4</v>
      </c>
      <c r="F249" s="7">
        <v>5100000</v>
      </c>
      <c r="G249" s="5"/>
    </row>
    <row r="250" spans="1:7" ht="14.45">
      <c r="A250" s="1" t="s">
        <v>342</v>
      </c>
      <c r="B250" s="1" t="s">
        <v>22</v>
      </c>
      <c r="C250" s="1" t="s">
        <v>40</v>
      </c>
      <c r="D250" s="1">
        <v>5</v>
      </c>
      <c r="E250" s="1">
        <f t="shared" si="3"/>
        <v>10</v>
      </c>
      <c r="F250" s="7">
        <v>5100000</v>
      </c>
      <c r="G250" s="5"/>
    </row>
    <row r="251" spans="1:7" ht="14.45">
      <c r="A251" s="1" t="s">
        <v>343</v>
      </c>
      <c r="B251" s="1" t="s">
        <v>19</v>
      </c>
      <c r="C251" s="1" t="s">
        <v>40</v>
      </c>
      <c r="D251" s="1">
        <v>4</v>
      </c>
      <c r="E251" s="1">
        <f t="shared" si="3"/>
        <v>8</v>
      </c>
      <c r="F251" s="7">
        <v>5000000</v>
      </c>
      <c r="G251" s="5"/>
    </row>
    <row r="252" spans="1:7" ht="14.45">
      <c r="A252" s="1" t="s">
        <v>344</v>
      </c>
      <c r="B252" s="1" t="s">
        <v>15</v>
      </c>
      <c r="C252" s="1" t="s">
        <v>40</v>
      </c>
      <c r="D252" s="1">
        <v>6</v>
      </c>
      <c r="E252" s="1">
        <f t="shared" si="3"/>
        <v>12</v>
      </c>
      <c r="F252" s="7">
        <v>5000000</v>
      </c>
      <c r="G252" s="5"/>
    </row>
    <row r="253" spans="1:7" ht="14.45">
      <c r="A253" s="1" t="s">
        <v>345</v>
      </c>
      <c r="B253" s="1" t="s">
        <v>33</v>
      </c>
      <c r="C253" s="1" t="s">
        <v>40</v>
      </c>
      <c r="D253" s="1">
        <v>4</v>
      </c>
      <c r="E253" s="1">
        <f t="shared" si="3"/>
        <v>8</v>
      </c>
      <c r="F253" s="7">
        <v>5000000</v>
      </c>
      <c r="G253" s="5"/>
    </row>
    <row r="254" spans="1:7" ht="14.45">
      <c r="A254" s="1" t="s">
        <v>346</v>
      </c>
      <c r="B254" s="1" t="s">
        <v>11</v>
      </c>
      <c r="C254" s="1" t="s">
        <v>39</v>
      </c>
      <c r="D254" s="1">
        <v>5</v>
      </c>
      <c r="E254" s="1">
        <f t="shared" si="3"/>
        <v>10</v>
      </c>
      <c r="F254" s="7">
        <v>5000000</v>
      </c>
      <c r="G254" s="5"/>
    </row>
    <row r="255" spans="1:7" ht="14.45">
      <c r="A255" s="1" t="s">
        <v>347</v>
      </c>
      <c r="B255" s="1" t="s">
        <v>13</v>
      </c>
      <c r="C255" s="1" t="s">
        <v>40</v>
      </c>
      <c r="D255" s="1">
        <v>6</v>
      </c>
      <c r="E255" s="1">
        <f t="shared" si="3"/>
        <v>12</v>
      </c>
      <c r="F255" s="7">
        <v>5000000</v>
      </c>
      <c r="G255" s="5"/>
    </row>
    <row r="256" spans="1:7" ht="14.45">
      <c r="A256" s="1" t="s">
        <v>348</v>
      </c>
      <c r="B256" s="1" t="s">
        <v>32</v>
      </c>
      <c r="C256" s="1" t="s">
        <v>39</v>
      </c>
      <c r="D256" s="1">
        <v>4</v>
      </c>
      <c r="E256" s="1">
        <f t="shared" si="3"/>
        <v>8</v>
      </c>
      <c r="F256" s="7">
        <v>5000000</v>
      </c>
      <c r="G256" s="5"/>
    </row>
    <row r="257" spans="1:7" ht="14.45">
      <c r="A257" s="1" t="s">
        <v>349</v>
      </c>
      <c r="B257" s="1" t="s">
        <v>10</v>
      </c>
      <c r="C257" s="1" t="s">
        <v>40</v>
      </c>
      <c r="D257" s="1">
        <v>5</v>
      </c>
      <c r="E257" s="1">
        <f t="shared" si="3"/>
        <v>10</v>
      </c>
      <c r="F257" s="7">
        <v>5000000</v>
      </c>
      <c r="G257" s="5"/>
    </row>
    <row r="258" spans="1:7" ht="14.45">
      <c r="A258" s="1" t="s">
        <v>350</v>
      </c>
      <c r="B258" s="1" t="s">
        <v>28</v>
      </c>
      <c r="C258" s="1" t="s">
        <v>40</v>
      </c>
      <c r="D258" s="1">
        <v>8</v>
      </c>
      <c r="E258" s="1">
        <f t="shared" ref="E258:E321" si="4">D258*2</f>
        <v>16</v>
      </c>
      <c r="F258" s="7">
        <v>4900000</v>
      </c>
      <c r="G258" s="5"/>
    </row>
    <row r="259" spans="1:7" ht="14.45">
      <c r="A259" s="1" t="s">
        <v>351</v>
      </c>
      <c r="B259" s="1" t="s">
        <v>2</v>
      </c>
      <c r="C259" s="1" t="s">
        <v>40</v>
      </c>
      <c r="D259" s="1">
        <v>4</v>
      </c>
      <c r="E259" s="1">
        <f t="shared" si="4"/>
        <v>8</v>
      </c>
      <c r="F259" s="7">
        <v>4900000</v>
      </c>
      <c r="G259" s="5"/>
    </row>
    <row r="260" spans="1:7" ht="14.45">
      <c r="A260" s="1" t="s">
        <v>352</v>
      </c>
      <c r="B260" s="1" t="s">
        <v>20</v>
      </c>
      <c r="C260" s="1" t="s">
        <v>42</v>
      </c>
      <c r="D260" s="1">
        <v>6</v>
      </c>
      <c r="E260" s="1">
        <f t="shared" si="4"/>
        <v>12</v>
      </c>
      <c r="F260" s="7">
        <v>4850000</v>
      </c>
      <c r="G260" s="5"/>
    </row>
    <row r="261" spans="1:7" ht="14.45">
      <c r="A261" s="1" t="s">
        <v>353</v>
      </c>
      <c r="B261" s="1" t="s">
        <v>2</v>
      </c>
      <c r="C261" s="1" t="s">
        <v>40</v>
      </c>
      <c r="D261" s="1">
        <v>1</v>
      </c>
      <c r="E261" s="1">
        <f t="shared" si="4"/>
        <v>2</v>
      </c>
      <c r="F261" s="7">
        <v>4825000</v>
      </c>
      <c r="G261" s="5"/>
    </row>
    <row r="262" spans="1:7" ht="14.45">
      <c r="A262" s="1" t="s">
        <v>354</v>
      </c>
      <c r="B262" s="1" t="s">
        <v>8</v>
      </c>
      <c r="C262" s="1" t="s">
        <v>40</v>
      </c>
      <c r="D262" s="1">
        <v>7</v>
      </c>
      <c r="E262" s="1">
        <f t="shared" si="4"/>
        <v>14</v>
      </c>
      <c r="F262" s="7">
        <v>4750000</v>
      </c>
      <c r="G262" s="5"/>
    </row>
    <row r="263" spans="1:7" ht="14.45">
      <c r="A263" s="1" t="s">
        <v>355</v>
      </c>
      <c r="B263" s="1" t="s">
        <v>25</v>
      </c>
      <c r="C263" s="1" t="s">
        <v>39</v>
      </c>
      <c r="D263" s="1">
        <v>8</v>
      </c>
      <c r="E263" s="1">
        <f t="shared" si="4"/>
        <v>16</v>
      </c>
      <c r="F263" s="7">
        <v>4700000</v>
      </c>
      <c r="G263" s="5"/>
    </row>
    <row r="264" spans="1:7" ht="14.45">
      <c r="A264" s="1" t="s">
        <v>356</v>
      </c>
      <c r="B264" s="1" t="s">
        <v>3</v>
      </c>
      <c r="C264" s="1" t="s">
        <v>39</v>
      </c>
      <c r="D264" s="1">
        <v>8</v>
      </c>
      <c r="E264" s="1">
        <f t="shared" si="4"/>
        <v>16</v>
      </c>
      <c r="F264" s="7">
        <v>4700000</v>
      </c>
      <c r="G264" s="5"/>
    </row>
    <row r="265" spans="1:7" ht="14.45">
      <c r="A265" s="1" t="s">
        <v>357</v>
      </c>
      <c r="B265" s="1" t="s">
        <v>26</v>
      </c>
      <c r="C265" s="1" t="s">
        <v>39</v>
      </c>
      <c r="D265" s="1">
        <v>6</v>
      </c>
      <c r="E265" s="1">
        <f t="shared" si="4"/>
        <v>12</v>
      </c>
      <c r="F265" s="7">
        <v>4666666</v>
      </c>
      <c r="G265" s="5"/>
    </row>
    <row r="266" spans="1:7" ht="14.45">
      <c r="A266" s="1" t="s">
        <v>358</v>
      </c>
      <c r="B266" s="1" t="s">
        <v>14</v>
      </c>
      <c r="C266" s="1" t="s">
        <v>39</v>
      </c>
      <c r="D266" s="1">
        <v>8</v>
      </c>
      <c r="E266" s="1">
        <f t="shared" si="4"/>
        <v>16</v>
      </c>
      <c r="F266" s="7">
        <v>4666666</v>
      </c>
      <c r="G266" s="5"/>
    </row>
    <row r="267" spans="1:7" ht="14.45">
      <c r="A267" s="1" t="s">
        <v>359</v>
      </c>
      <c r="B267" s="1" t="s">
        <v>9</v>
      </c>
      <c r="C267" s="1" t="s">
        <v>39</v>
      </c>
      <c r="D267" s="1">
        <v>3</v>
      </c>
      <c r="E267" s="1">
        <f t="shared" si="4"/>
        <v>6</v>
      </c>
      <c r="F267" s="7">
        <v>4600000</v>
      </c>
      <c r="G267" s="5"/>
    </row>
    <row r="268" spans="1:7" ht="14.45">
      <c r="A268" s="1" t="s">
        <v>360</v>
      </c>
      <c r="B268" s="1" t="s">
        <v>13</v>
      </c>
      <c r="C268" s="1" t="s">
        <v>40</v>
      </c>
      <c r="D268" s="1">
        <v>4</v>
      </c>
      <c r="E268" s="1">
        <f t="shared" si="4"/>
        <v>8</v>
      </c>
      <c r="F268" s="7">
        <v>4600000</v>
      </c>
      <c r="G268" s="5"/>
    </row>
    <row r="269" spans="1:7" ht="14.45">
      <c r="A269" s="1" t="s">
        <v>361</v>
      </c>
      <c r="B269" s="1" t="s">
        <v>25</v>
      </c>
      <c r="C269" s="1" t="s">
        <v>43</v>
      </c>
      <c r="D269" s="1">
        <v>8</v>
      </c>
      <c r="E269" s="1">
        <f t="shared" si="4"/>
        <v>16</v>
      </c>
      <c r="F269" s="7">
        <v>4500000</v>
      </c>
      <c r="G269" s="5"/>
    </row>
    <row r="270" spans="1:7" ht="14.45">
      <c r="A270" s="1" t="s">
        <v>362</v>
      </c>
      <c r="B270" s="1" t="s">
        <v>30</v>
      </c>
      <c r="C270" s="1" t="s">
        <v>41</v>
      </c>
      <c r="D270" s="1">
        <v>7</v>
      </c>
      <c r="E270" s="1">
        <f t="shared" si="4"/>
        <v>14</v>
      </c>
      <c r="F270" s="7">
        <v>4500000</v>
      </c>
      <c r="G270" s="5"/>
    </row>
    <row r="271" spans="1:7" ht="14.45">
      <c r="A271" s="1" t="s">
        <v>363</v>
      </c>
      <c r="B271" s="1" t="s">
        <v>20</v>
      </c>
      <c r="C271" s="1" t="s">
        <v>40</v>
      </c>
      <c r="D271" s="1">
        <v>5</v>
      </c>
      <c r="E271" s="1">
        <f t="shared" si="4"/>
        <v>10</v>
      </c>
      <c r="F271" s="7">
        <v>4500000</v>
      </c>
      <c r="G271" s="5"/>
    </row>
    <row r="272" spans="1:7" ht="14.45">
      <c r="A272" s="1" t="s">
        <v>364</v>
      </c>
      <c r="B272" s="1" t="s">
        <v>33</v>
      </c>
      <c r="C272" s="1" t="s">
        <v>40</v>
      </c>
      <c r="D272" s="1">
        <v>4</v>
      </c>
      <c r="E272" s="1">
        <f t="shared" si="4"/>
        <v>8</v>
      </c>
      <c r="F272" s="7">
        <v>4450000</v>
      </c>
      <c r="G272" s="5"/>
    </row>
    <row r="273" spans="1:7" ht="14.45">
      <c r="A273" s="1" t="s">
        <v>365</v>
      </c>
      <c r="B273" s="1" t="s">
        <v>9</v>
      </c>
      <c r="C273" s="1" t="s">
        <v>36</v>
      </c>
      <c r="D273" s="1">
        <v>3</v>
      </c>
      <c r="E273" s="1">
        <f t="shared" si="4"/>
        <v>6</v>
      </c>
      <c r="F273" s="7">
        <v>4437500</v>
      </c>
      <c r="G273" s="5"/>
    </row>
    <row r="274" spans="1:7" ht="14.45">
      <c r="A274" s="1" t="s">
        <v>366</v>
      </c>
      <c r="B274" s="1" t="s">
        <v>27</v>
      </c>
      <c r="C274" s="1" t="s">
        <v>40</v>
      </c>
      <c r="D274" s="1">
        <v>3</v>
      </c>
      <c r="E274" s="1">
        <f t="shared" si="4"/>
        <v>6</v>
      </c>
      <c r="F274" s="7">
        <v>4425000</v>
      </c>
      <c r="G274" s="5"/>
    </row>
    <row r="275" spans="1:7" ht="14.45">
      <c r="A275" s="1" t="s">
        <v>367</v>
      </c>
      <c r="B275" s="1" t="s">
        <v>26</v>
      </c>
      <c r="C275" s="1" t="s">
        <v>40</v>
      </c>
      <c r="D275" s="1">
        <v>2</v>
      </c>
      <c r="E275" s="1">
        <f t="shared" si="4"/>
        <v>4</v>
      </c>
      <c r="F275" s="7">
        <v>4416666</v>
      </c>
      <c r="G275" s="5"/>
    </row>
    <row r="276" spans="1:7" ht="14.45">
      <c r="A276" s="1" t="s">
        <v>368</v>
      </c>
      <c r="B276" s="1" t="s">
        <v>2</v>
      </c>
      <c r="C276" s="1" t="s">
        <v>43</v>
      </c>
      <c r="D276" s="1">
        <v>5</v>
      </c>
      <c r="E276" s="1">
        <f t="shared" si="4"/>
        <v>10</v>
      </c>
      <c r="F276" s="7">
        <v>4275000</v>
      </c>
      <c r="G276" s="5"/>
    </row>
    <row r="277" spans="1:7" ht="14.45">
      <c r="A277" s="1" t="s">
        <v>369</v>
      </c>
      <c r="B277" s="1" t="s">
        <v>32</v>
      </c>
      <c r="C277" s="1" t="s">
        <v>38</v>
      </c>
      <c r="D277" s="1">
        <v>7</v>
      </c>
      <c r="E277" s="1">
        <f t="shared" si="4"/>
        <v>14</v>
      </c>
      <c r="F277" s="7">
        <v>4250000</v>
      </c>
      <c r="G277" s="5"/>
    </row>
    <row r="278" spans="1:7" ht="14.45">
      <c r="A278" s="1" t="s">
        <v>370</v>
      </c>
      <c r="B278" s="1" t="s">
        <v>7</v>
      </c>
      <c r="C278" s="1" t="s">
        <v>40</v>
      </c>
      <c r="D278" s="1">
        <v>3</v>
      </c>
      <c r="E278" s="1">
        <f t="shared" si="4"/>
        <v>6</v>
      </c>
      <c r="F278" s="7">
        <v>4250000</v>
      </c>
      <c r="G278" s="5"/>
    </row>
    <row r="279" spans="1:7" ht="14.45">
      <c r="A279" s="1" t="s">
        <v>371</v>
      </c>
      <c r="B279" s="1" t="s">
        <v>29</v>
      </c>
      <c r="C279" s="1" t="s">
        <v>41</v>
      </c>
      <c r="D279" s="1">
        <v>7</v>
      </c>
      <c r="E279" s="1">
        <f t="shared" si="4"/>
        <v>14</v>
      </c>
      <c r="F279" s="7">
        <v>4200000</v>
      </c>
      <c r="G279" s="5"/>
    </row>
    <row r="280" spans="1:7" ht="14.45">
      <c r="A280" s="1" t="s">
        <v>372</v>
      </c>
      <c r="B280" s="1" t="s">
        <v>28</v>
      </c>
      <c r="C280" s="1" t="s">
        <v>40</v>
      </c>
      <c r="D280" s="1">
        <v>7</v>
      </c>
      <c r="E280" s="1">
        <f t="shared" si="4"/>
        <v>14</v>
      </c>
      <c r="F280" s="7">
        <v>4200000</v>
      </c>
      <c r="G280" s="5"/>
    </row>
    <row r="281" spans="1:7" ht="14.45">
      <c r="A281" s="1" t="s">
        <v>373</v>
      </c>
      <c r="B281" s="1" t="s">
        <v>20</v>
      </c>
      <c r="C281" s="1" t="s">
        <v>40</v>
      </c>
      <c r="D281" s="1">
        <v>8</v>
      </c>
      <c r="E281" s="1">
        <f t="shared" si="4"/>
        <v>16</v>
      </c>
      <c r="F281" s="7">
        <v>4200000</v>
      </c>
      <c r="G281" s="5"/>
    </row>
    <row r="282" spans="1:7" ht="14.45">
      <c r="A282" s="1" t="s">
        <v>374</v>
      </c>
      <c r="B282" s="1" t="s">
        <v>7</v>
      </c>
      <c r="C282" s="1" t="s">
        <v>40</v>
      </c>
      <c r="D282" s="1">
        <v>4</v>
      </c>
      <c r="E282" s="1">
        <f t="shared" si="4"/>
        <v>8</v>
      </c>
      <c r="F282" s="7">
        <v>4175000</v>
      </c>
      <c r="G282" s="5"/>
    </row>
    <row r="283" spans="1:7" ht="14.45">
      <c r="A283" s="1" t="s">
        <v>375</v>
      </c>
      <c r="B283" s="1" t="s">
        <v>32</v>
      </c>
      <c r="C283" s="1" t="s">
        <v>43</v>
      </c>
      <c r="D283" s="1">
        <v>5</v>
      </c>
      <c r="E283" s="1">
        <f t="shared" si="4"/>
        <v>10</v>
      </c>
      <c r="F283" s="7">
        <v>4125000</v>
      </c>
      <c r="G283" s="5"/>
    </row>
    <row r="284" spans="1:7" ht="14.45">
      <c r="A284" s="1" t="s">
        <v>376</v>
      </c>
      <c r="B284" s="1" t="s">
        <v>15</v>
      </c>
      <c r="C284" s="1" t="s">
        <v>40</v>
      </c>
      <c r="D284" s="1">
        <v>6</v>
      </c>
      <c r="E284" s="1">
        <f t="shared" si="4"/>
        <v>12</v>
      </c>
      <c r="F284" s="7">
        <v>4125000</v>
      </c>
      <c r="G284" s="5"/>
    </row>
    <row r="285" spans="1:7" ht="14.45">
      <c r="A285" s="1" t="s">
        <v>377</v>
      </c>
      <c r="B285" s="1" t="s">
        <v>23</v>
      </c>
      <c r="C285" s="1" t="s">
        <v>40</v>
      </c>
      <c r="D285" s="1">
        <v>2</v>
      </c>
      <c r="E285" s="1">
        <f t="shared" si="4"/>
        <v>4</v>
      </c>
      <c r="F285" s="7">
        <v>4000000</v>
      </c>
      <c r="G285" s="5"/>
    </row>
    <row r="286" spans="1:7" ht="14.45">
      <c r="A286" s="1" t="s">
        <v>378</v>
      </c>
      <c r="B286" s="1" t="s">
        <v>13</v>
      </c>
      <c r="C286" s="1" t="s">
        <v>40</v>
      </c>
      <c r="D286" s="1">
        <v>4</v>
      </c>
      <c r="E286" s="1">
        <f t="shared" si="4"/>
        <v>8</v>
      </c>
      <c r="F286" s="7">
        <v>4000000</v>
      </c>
      <c r="G286" s="5"/>
    </row>
    <row r="287" spans="1:7" ht="14.45">
      <c r="A287" s="1" t="s">
        <v>379</v>
      </c>
      <c r="B287" s="1" t="s">
        <v>2</v>
      </c>
      <c r="C287" s="1" t="s">
        <v>36</v>
      </c>
      <c r="D287" s="1">
        <v>5</v>
      </c>
      <c r="E287" s="1">
        <f t="shared" si="4"/>
        <v>10</v>
      </c>
      <c r="F287" s="7">
        <v>4000000</v>
      </c>
      <c r="G287" s="5"/>
    </row>
    <row r="288" spans="1:7" ht="14.45">
      <c r="A288" s="1" t="s">
        <v>380</v>
      </c>
      <c r="B288" s="1" t="s">
        <v>30</v>
      </c>
      <c r="C288" s="1" t="s">
        <v>39</v>
      </c>
      <c r="D288" s="1">
        <v>6</v>
      </c>
      <c r="E288" s="1">
        <f t="shared" si="4"/>
        <v>12</v>
      </c>
      <c r="F288" s="7">
        <v>4000000</v>
      </c>
      <c r="G288" s="5"/>
    </row>
    <row r="289" spans="1:7" ht="14.45">
      <c r="A289" s="1" t="s">
        <v>381</v>
      </c>
      <c r="B289" s="1" t="s">
        <v>31</v>
      </c>
      <c r="C289" s="1" t="s">
        <v>40</v>
      </c>
      <c r="D289" s="1">
        <v>2</v>
      </c>
      <c r="E289" s="1">
        <f t="shared" si="4"/>
        <v>4</v>
      </c>
      <c r="F289" s="7">
        <v>4000000</v>
      </c>
      <c r="G289" s="5"/>
    </row>
    <row r="290" spans="1:7" ht="14.45">
      <c r="A290" s="1" t="s">
        <v>382</v>
      </c>
      <c r="B290" s="1" t="s">
        <v>12</v>
      </c>
      <c r="C290" s="1" t="s">
        <v>40</v>
      </c>
      <c r="D290" s="1">
        <v>1</v>
      </c>
      <c r="E290" s="1">
        <f t="shared" si="4"/>
        <v>2</v>
      </c>
      <c r="F290" s="7">
        <v>4000000</v>
      </c>
      <c r="G290" s="5"/>
    </row>
    <row r="291" spans="1:7" ht="14.45">
      <c r="A291" s="1" t="s">
        <v>383</v>
      </c>
      <c r="B291" s="1" t="s">
        <v>33</v>
      </c>
      <c r="C291" s="1" t="s">
        <v>38</v>
      </c>
      <c r="D291" s="1">
        <v>8</v>
      </c>
      <c r="E291" s="1">
        <f t="shared" si="4"/>
        <v>16</v>
      </c>
      <c r="F291" s="7">
        <v>4000000</v>
      </c>
      <c r="G291" s="5"/>
    </row>
    <row r="292" spans="1:7" ht="14.45">
      <c r="A292" s="1" t="s">
        <v>384</v>
      </c>
      <c r="B292" s="1" t="s">
        <v>22</v>
      </c>
      <c r="C292" s="1" t="s">
        <v>41</v>
      </c>
      <c r="D292" s="1">
        <v>2</v>
      </c>
      <c r="E292" s="1">
        <f t="shared" si="4"/>
        <v>4</v>
      </c>
      <c r="F292" s="7">
        <v>4000000</v>
      </c>
      <c r="G292" s="5"/>
    </row>
    <row r="293" spans="1:7" ht="14.45">
      <c r="A293" s="1" t="s">
        <v>385</v>
      </c>
      <c r="B293" s="1" t="s">
        <v>3</v>
      </c>
      <c r="C293" s="1" t="s">
        <v>36</v>
      </c>
      <c r="D293" s="1">
        <v>5</v>
      </c>
      <c r="E293" s="1">
        <f t="shared" si="4"/>
        <v>10</v>
      </c>
      <c r="F293" s="7">
        <v>4000000</v>
      </c>
      <c r="G293" s="5"/>
    </row>
    <row r="294" spans="1:7" ht="14.45">
      <c r="A294" s="1" t="s">
        <v>386</v>
      </c>
      <c r="B294" s="1" t="s">
        <v>11</v>
      </c>
      <c r="C294" s="1" t="s">
        <v>36</v>
      </c>
      <c r="D294" s="1">
        <v>2</v>
      </c>
      <c r="E294" s="1">
        <f t="shared" si="4"/>
        <v>4</v>
      </c>
      <c r="F294" s="7">
        <v>3975000</v>
      </c>
      <c r="G294" s="5"/>
    </row>
    <row r="295" spans="1:7" ht="14.45">
      <c r="A295" s="1" t="s">
        <v>387</v>
      </c>
      <c r="B295" s="1" t="s">
        <v>8</v>
      </c>
      <c r="C295" s="1" t="s">
        <v>40</v>
      </c>
      <c r="D295" s="1">
        <v>8</v>
      </c>
      <c r="E295" s="1">
        <f t="shared" si="4"/>
        <v>16</v>
      </c>
      <c r="F295" s="7">
        <v>3950000</v>
      </c>
      <c r="G295" s="5"/>
    </row>
    <row r="296" spans="1:7" ht="14.45">
      <c r="A296" s="1" t="s">
        <v>388</v>
      </c>
      <c r="B296" s="1" t="s">
        <v>2</v>
      </c>
      <c r="C296" s="1" t="s">
        <v>40</v>
      </c>
      <c r="D296" s="1">
        <v>5</v>
      </c>
      <c r="E296" s="1">
        <f t="shared" si="4"/>
        <v>10</v>
      </c>
      <c r="F296" s="7">
        <v>3950000</v>
      </c>
      <c r="G296" s="5"/>
    </row>
    <row r="297" spans="1:7" ht="14.45">
      <c r="A297" s="1" t="s">
        <v>389</v>
      </c>
      <c r="B297" s="1" t="s">
        <v>15</v>
      </c>
      <c r="C297" s="1" t="s">
        <v>36</v>
      </c>
      <c r="D297" s="1">
        <v>2</v>
      </c>
      <c r="E297" s="1">
        <f t="shared" si="4"/>
        <v>4</v>
      </c>
      <c r="F297" s="7">
        <v>3900000</v>
      </c>
      <c r="G297" s="5"/>
    </row>
    <row r="298" spans="1:7" ht="14.45">
      <c r="A298" s="1" t="s">
        <v>390</v>
      </c>
      <c r="B298" s="1" t="s">
        <v>6</v>
      </c>
      <c r="C298" s="1" t="s">
        <v>40</v>
      </c>
      <c r="D298" s="1">
        <v>2</v>
      </c>
      <c r="E298" s="1">
        <f t="shared" si="4"/>
        <v>4</v>
      </c>
      <c r="F298" s="7">
        <v>3825000</v>
      </c>
      <c r="G298" s="5"/>
    </row>
    <row r="299" spans="1:7" ht="14.45">
      <c r="A299" s="1" t="s">
        <v>391</v>
      </c>
      <c r="B299" s="1" t="s">
        <v>2</v>
      </c>
      <c r="C299" s="1" t="s">
        <v>39</v>
      </c>
      <c r="D299" s="1">
        <v>2</v>
      </c>
      <c r="E299" s="1">
        <f t="shared" si="4"/>
        <v>4</v>
      </c>
      <c r="F299" s="7">
        <v>3750000</v>
      </c>
      <c r="G299" s="5"/>
    </row>
    <row r="300" spans="1:7" ht="14.45">
      <c r="A300" s="1" t="s">
        <v>392</v>
      </c>
      <c r="B300" s="1" t="s">
        <v>19</v>
      </c>
      <c r="C300" s="1" t="s">
        <v>40</v>
      </c>
      <c r="D300" s="1">
        <v>5</v>
      </c>
      <c r="E300" s="1">
        <f t="shared" si="4"/>
        <v>10</v>
      </c>
      <c r="F300" s="7">
        <v>3700000</v>
      </c>
      <c r="G300" s="5"/>
    </row>
    <row r="301" spans="1:7" ht="14.45">
      <c r="A301" s="1" t="s">
        <v>393</v>
      </c>
      <c r="B301" s="1" t="s">
        <v>19</v>
      </c>
      <c r="C301" s="1" t="s">
        <v>40</v>
      </c>
      <c r="D301" s="1">
        <v>6</v>
      </c>
      <c r="E301" s="1">
        <f t="shared" si="4"/>
        <v>12</v>
      </c>
      <c r="F301" s="7">
        <v>3650000</v>
      </c>
      <c r="G301" s="5"/>
    </row>
    <row r="302" spans="1:7" ht="14.45">
      <c r="A302" s="1" t="s">
        <v>394</v>
      </c>
      <c r="B302" s="1" t="s">
        <v>24</v>
      </c>
      <c r="C302" s="1" t="s">
        <v>39</v>
      </c>
      <c r="D302" s="1">
        <v>8</v>
      </c>
      <c r="E302" s="1">
        <f t="shared" si="4"/>
        <v>16</v>
      </c>
      <c r="F302" s="7">
        <v>3550000</v>
      </c>
      <c r="G302" s="5"/>
    </row>
    <row r="303" spans="1:7" ht="14.45">
      <c r="A303" s="1" t="s">
        <v>395</v>
      </c>
      <c r="B303" s="1" t="s">
        <v>2</v>
      </c>
      <c r="C303" s="1" t="s">
        <v>39</v>
      </c>
      <c r="D303" s="1">
        <v>4</v>
      </c>
      <c r="E303" s="1">
        <f t="shared" si="4"/>
        <v>8</v>
      </c>
      <c r="F303" s="7">
        <v>3550000</v>
      </c>
      <c r="G303" s="5"/>
    </row>
    <row r="304" spans="1:7" ht="14.45">
      <c r="A304" s="1" t="s">
        <v>396</v>
      </c>
      <c r="B304" s="1" t="s">
        <v>7</v>
      </c>
      <c r="C304" s="1" t="s">
        <v>40</v>
      </c>
      <c r="D304" s="1">
        <v>5</v>
      </c>
      <c r="E304" s="1">
        <f t="shared" si="4"/>
        <v>10</v>
      </c>
      <c r="F304" s="7">
        <v>3500000</v>
      </c>
      <c r="G304" s="5"/>
    </row>
    <row r="305" spans="1:7" ht="14.45">
      <c r="A305" s="1" t="s">
        <v>397</v>
      </c>
      <c r="B305" s="1" t="s">
        <v>3</v>
      </c>
      <c r="C305" s="1" t="s">
        <v>36</v>
      </c>
      <c r="D305" s="1">
        <v>4</v>
      </c>
      <c r="E305" s="1">
        <f t="shared" si="4"/>
        <v>8</v>
      </c>
      <c r="F305" s="7">
        <v>3500000</v>
      </c>
      <c r="G305" s="5"/>
    </row>
    <row r="306" spans="1:7" ht="14.45">
      <c r="A306" s="1" t="s">
        <v>398</v>
      </c>
      <c r="B306" s="1" t="s">
        <v>14</v>
      </c>
      <c r="C306" s="1" t="s">
        <v>38</v>
      </c>
      <c r="D306" s="1">
        <v>3</v>
      </c>
      <c r="E306" s="1">
        <f t="shared" si="4"/>
        <v>6</v>
      </c>
      <c r="F306" s="7">
        <v>3500000</v>
      </c>
      <c r="G306" s="5"/>
    </row>
    <row r="307" spans="1:7" ht="14.45">
      <c r="A307" s="1" t="s">
        <v>399</v>
      </c>
      <c r="B307" s="1" t="s">
        <v>21</v>
      </c>
      <c r="C307" s="1" t="s">
        <v>36</v>
      </c>
      <c r="D307" s="1">
        <v>3</v>
      </c>
      <c r="E307" s="1">
        <f t="shared" si="4"/>
        <v>6</v>
      </c>
      <c r="F307" s="7">
        <v>3475000</v>
      </c>
      <c r="G307" s="5"/>
    </row>
    <row r="308" spans="1:7" ht="14.45">
      <c r="A308" s="1" t="s">
        <v>400</v>
      </c>
      <c r="B308" s="1" t="s">
        <v>27</v>
      </c>
      <c r="C308" s="1" t="s">
        <v>41</v>
      </c>
      <c r="D308" s="1">
        <v>1</v>
      </c>
      <c r="E308" s="1">
        <f t="shared" si="4"/>
        <v>2</v>
      </c>
      <c r="F308" s="7">
        <v>3450000</v>
      </c>
      <c r="G308" s="5"/>
    </row>
    <row r="309" spans="1:7" ht="14.45">
      <c r="A309" s="1" t="s">
        <v>401</v>
      </c>
      <c r="B309" s="1" t="s">
        <v>3</v>
      </c>
      <c r="C309" s="1" t="s">
        <v>40</v>
      </c>
      <c r="D309" s="1">
        <v>2</v>
      </c>
      <c r="E309" s="1">
        <f t="shared" si="4"/>
        <v>4</v>
      </c>
      <c r="F309" s="7">
        <v>3400000</v>
      </c>
      <c r="G309" s="5"/>
    </row>
    <row r="310" spans="1:7" ht="14.45">
      <c r="A310" s="1" t="s">
        <v>402</v>
      </c>
      <c r="B310" s="1" t="s">
        <v>2</v>
      </c>
      <c r="C310" s="1" t="s">
        <v>42</v>
      </c>
      <c r="D310" s="1">
        <v>1</v>
      </c>
      <c r="E310" s="1">
        <f t="shared" si="4"/>
        <v>2</v>
      </c>
      <c r="F310" s="7">
        <v>3400000</v>
      </c>
      <c r="G310" s="5"/>
    </row>
    <row r="311" spans="1:7" ht="14.45">
      <c r="A311" s="1" t="s">
        <v>403</v>
      </c>
      <c r="B311" s="1" t="s">
        <v>18</v>
      </c>
      <c r="C311" s="1" t="s">
        <v>38</v>
      </c>
      <c r="D311" s="1">
        <v>3</v>
      </c>
      <c r="E311" s="1">
        <f t="shared" si="4"/>
        <v>6</v>
      </c>
      <c r="F311" s="7">
        <v>3400000</v>
      </c>
      <c r="G311" s="5"/>
    </row>
    <row r="312" spans="1:7" ht="14.45">
      <c r="A312" s="1" t="s">
        <v>404</v>
      </c>
      <c r="B312" s="1" t="s">
        <v>21</v>
      </c>
      <c r="C312" s="1" t="s">
        <v>38</v>
      </c>
      <c r="D312" s="1">
        <v>4</v>
      </c>
      <c r="E312" s="1">
        <f t="shared" si="4"/>
        <v>8</v>
      </c>
      <c r="F312" s="7">
        <v>3400000</v>
      </c>
      <c r="G312" s="5"/>
    </row>
    <row r="313" spans="1:7" ht="14.45">
      <c r="A313" s="1" t="s">
        <v>405</v>
      </c>
      <c r="B313" s="1" t="s">
        <v>18</v>
      </c>
      <c r="C313" s="1" t="s">
        <v>40</v>
      </c>
      <c r="D313" s="1">
        <v>2</v>
      </c>
      <c r="E313" s="1">
        <f t="shared" si="4"/>
        <v>4</v>
      </c>
      <c r="F313" s="7">
        <v>3375000</v>
      </c>
      <c r="G313" s="5"/>
    </row>
    <row r="314" spans="1:7" ht="14.45">
      <c r="A314" s="1" t="s">
        <v>406</v>
      </c>
      <c r="B314" s="1" t="s">
        <v>5</v>
      </c>
      <c r="C314" s="1" t="s">
        <v>43</v>
      </c>
      <c r="D314" s="1">
        <v>2</v>
      </c>
      <c r="E314" s="1">
        <f t="shared" si="4"/>
        <v>4</v>
      </c>
      <c r="F314" s="7">
        <v>3350000</v>
      </c>
      <c r="G314" s="5"/>
    </row>
    <row r="315" spans="1:7" ht="14.45">
      <c r="A315" s="1" t="s">
        <v>407</v>
      </c>
      <c r="B315" s="1" t="s">
        <v>31</v>
      </c>
      <c r="C315" s="1" t="s">
        <v>41</v>
      </c>
      <c r="D315" s="1">
        <v>4</v>
      </c>
      <c r="E315" s="1">
        <f t="shared" si="4"/>
        <v>8</v>
      </c>
      <c r="F315" s="7">
        <v>3333333</v>
      </c>
      <c r="G315" s="5"/>
    </row>
    <row r="316" spans="1:7" ht="14.45">
      <c r="A316" s="1" t="s">
        <v>408</v>
      </c>
      <c r="B316" s="1" t="s">
        <v>22</v>
      </c>
      <c r="C316" s="1" t="s">
        <v>40</v>
      </c>
      <c r="D316" s="1">
        <v>2</v>
      </c>
      <c r="E316" s="1">
        <f t="shared" si="4"/>
        <v>4</v>
      </c>
      <c r="F316" s="7">
        <v>3315000</v>
      </c>
      <c r="G316" s="5"/>
    </row>
    <row r="317" spans="1:7" ht="14.45">
      <c r="A317" s="1" t="s">
        <v>409</v>
      </c>
      <c r="B317" s="1" t="s">
        <v>2</v>
      </c>
      <c r="C317" s="1" t="s">
        <v>39</v>
      </c>
      <c r="D317" s="1">
        <v>3</v>
      </c>
      <c r="E317" s="1">
        <f t="shared" si="4"/>
        <v>6</v>
      </c>
      <c r="F317" s="7">
        <v>3300000</v>
      </c>
      <c r="G317" s="5"/>
    </row>
    <row r="318" spans="1:7" ht="14.45">
      <c r="A318" s="1" t="s">
        <v>410</v>
      </c>
      <c r="B318" s="1" t="s">
        <v>25</v>
      </c>
      <c r="C318" s="1" t="s">
        <v>40</v>
      </c>
      <c r="D318" s="1">
        <v>3</v>
      </c>
      <c r="E318" s="1">
        <f t="shared" si="4"/>
        <v>6</v>
      </c>
      <c r="F318" s="7">
        <v>3250000</v>
      </c>
      <c r="G318" s="5"/>
    </row>
    <row r="319" spans="1:7" ht="14.45">
      <c r="A319" s="1" t="s">
        <v>411</v>
      </c>
      <c r="B319" s="1" t="s">
        <v>27</v>
      </c>
      <c r="C319" s="1" t="s">
        <v>40</v>
      </c>
      <c r="D319" s="1">
        <v>4</v>
      </c>
      <c r="E319" s="1">
        <f t="shared" si="4"/>
        <v>8</v>
      </c>
      <c r="F319" s="7">
        <v>3250000</v>
      </c>
      <c r="G319" s="5"/>
    </row>
    <row r="320" spans="1:7" ht="14.45">
      <c r="A320" s="1" t="s">
        <v>412</v>
      </c>
      <c r="B320" s="1" t="s">
        <v>18</v>
      </c>
      <c r="C320" s="1" t="s">
        <v>39</v>
      </c>
      <c r="D320" s="1">
        <v>6</v>
      </c>
      <c r="E320" s="1">
        <f t="shared" si="4"/>
        <v>12</v>
      </c>
      <c r="F320" s="7">
        <v>3250000</v>
      </c>
      <c r="G320" s="5"/>
    </row>
    <row r="321" spans="1:7" ht="14.45">
      <c r="A321" s="1" t="s">
        <v>413</v>
      </c>
      <c r="B321" s="1" t="s">
        <v>32</v>
      </c>
      <c r="C321" s="1" t="s">
        <v>39</v>
      </c>
      <c r="D321" s="1">
        <v>2</v>
      </c>
      <c r="E321" s="1">
        <f t="shared" si="4"/>
        <v>4</v>
      </c>
      <c r="F321" s="7">
        <v>3250000</v>
      </c>
      <c r="G321" s="5"/>
    </row>
    <row r="322" spans="1:7" ht="14.45">
      <c r="A322" s="1" t="s">
        <v>414</v>
      </c>
      <c r="B322" s="1" t="s">
        <v>7</v>
      </c>
      <c r="C322" s="1" t="s">
        <v>42</v>
      </c>
      <c r="D322" s="1">
        <v>4</v>
      </c>
      <c r="E322" s="1">
        <f t="shared" ref="E322:E385" si="5">D322*2</f>
        <v>8</v>
      </c>
      <c r="F322" s="7">
        <v>3200000</v>
      </c>
      <c r="G322" s="5"/>
    </row>
    <row r="323" spans="1:7" ht="14.45">
      <c r="A323" s="1" t="s">
        <v>415</v>
      </c>
      <c r="B323" s="1" t="s">
        <v>16</v>
      </c>
      <c r="C323" s="1" t="s">
        <v>40</v>
      </c>
      <c r="D323" s="1">
        <v>6</v>
      </c>
      <c r="E323" s="1">
        <f t="shared" si="5"/>
        <v>12</v>
      </c>
      <c r="F323" s="7">
        <v>3125000</v>
      </c>
      <c r="G323" s="5"/>
    </row>
    <row r="324" spans="1:7" ht="14.45">
      <c r="A324" s="1" t="s">
        <v>416</v>
      </c>
      <c r="B324" s="1" t="s">
        <v>23</v>
      </c>
      <c r="C324" s="1" t="s">
        <v>42</v>
      </c>
      <c r="D324" s="1">
        <v>1</v>
      </c>
      <c r="E324" s="1">
        <f t="shared" si="5"/>
        <v>2</v>
      </c>
      <c r="F324" s="7">
        <v>3125000</v>
      </c>
      <c r="G324" s="5"/>
    </row>
    <row r="325" spans="1:7" ht="14.45">
      <c r="A325" s="1" t="s">
        <v>417</v>
      </c>
      <c r="B325" s="1" t="s">
        <v>19</v>
      </c>
      <c r="C325" s="1" t="s">
        <v>36</v>
      </c>
      <c r="D325" s="1">
        <v>2</v>
      </c>
      <c r="E325" s="1">
        <f t="shared" si="5"/>
        <v>4</v>
      </c>
      <c r="F325" s="7">
        <v>3065000</v>
      </c>
      <c r="G325" s="5"/>
    </row>
    <row r="326" spans="1:7" ht="14.45">
      <c r="A326" s="1" t="s">
        <v>418</v>
      </c>
      <c r="B326" s="1" t="s">
        <v>25</v>
      </c>
      <c r="C326" s="1" t="s">
        <v>43</v>
      </c>
      <c r="D326" s="1">
        <v>3</v>
      </c>
      <c r="E326" s="1">
        <f t="shared" si="5"/>
        <v>6</v>
      </c>
      <c r="F326" s="7">
        <v>3062500</v>
      </c>
      <c r="G326" s="5"/>
    </row>
    <row r="327" spans="1:7" ht="14.45">
      <c r="A327" s="1" t="s">
        <v>419</v>
      </c>
      <c r="B327" s="1" t="s">
        <v>7</v>
      </c>
      <c r="C327" s="1" t="s">
        <v>40</v>
      </c>
      <c r="D327" s="1">
        <v>1</v>
      </c>
      <c r="E327" s="1">
        <f t="shared" si="5"/>
        <v>2</v>
      </c>
      <c r="F327" s="7">
        <v>3000000</v>
      </c>
      <c r="G327" s="5"/>
    </row>
    <row r="328" spans="1:7" ht="14.45">
      <c r="A328" s="1" t="s">
        <v>420</v>
      </c>
      <c r="B328" s="1" t="s">
        <v>33</v>
      </c>
      <c r="C328" s="1" t="s">
        <v>39</v>
      </c>
      <c r="D328" s="1">
        <v>1</v>
      </c>
      <c r="E328" s="1">
        <f t="shared" si="5"/>
        <v>2</v>
      </c>
      <c r="F328" s="7">
        <v>3000000</v>
      </c>
      <c r="G328" s="5"/>
    </row>
    <row r="329" spans="1:7" ht="14.45">
      <c r="A329" s="1" t="s">
        <v>421</v>
      </c>
      <c r="B329" s="1" t="s">
        <v>27</v>
      </c>
      <c r="C329" s="1" t="s">
        <v>39</v>
      </c>
      <c r="D329" s="1">
        <v>3</v>
      </c>
      <c r="E329" s="1">
        <f t="shared" si="5"/>
        <v>6</v>
      </c>
      <c r="F329" s="7">
        <v>3000000</v>
      </c>
      <c r="G329" s="5"/>
    </row>
    <row r="330" spans="1:7" ht="14.45">
      <c r="A330" s="1" t="s">
        <v>422</v>
      </c>
      <c r="B330" s="1" t="s">
        <v>26</v>
      </c>
      <c r="C330" s="1" t="s">
        <v>40</v>
      </c>
      <c r="D330" s="1">
        <v>4</v>
      </c>
      <c r="E330" s="1">
        <f t="shared" si="5"/>
        <v>8</v>
      </c>
      <c r="F330" s="7">
        <v>3000000</v>
      </c>
      <c r="G330" s="5"/>
    </row>
    <row r="331" spans="1:7" ht="14.45">
      <c r="A331" s="1" t="s">
        <v>423</v>
      </c>
      <c r="B331" s="1" t="s">
        <v>29</v>
      </c>
      <c r="C331" s="1" t="s">
        <v>40</v>
      </c>
      <c r="D331" s="1">
        <v>6</v>
      </c>
      <c r="E331" s="1">
        <f t="shared" si="5"/>
        <v>12</v>
      </c>
      <c r="F331" s="7">
        <v>3000000</v>
      </c>
      <c r="G331" s="5"/>
    </row>
    <row r="332" spans="1:7" ht="14.45">
      <c r="A332" s="1" t="s">
        <v>424</v>
      </c>
      <c r="B332" s="1" t="s">
        <v>5</v>
      </c>
      <c r="C332" s="1" t="s">
        <v>40</v>
      </c>
      <c r="D332" s="1">
        <v>3</v>
      </c>
      <c r="E332" s="1">
        <f t="shared" si="5"/>
        <v>6</v>
      </c>
      <c r="F332" s="7">
        <v>3000000</v>
      </c>
      <c r="G332" s="5"/>
    </row>
    <row r="333" spans="1:7" ht="14.45">
      <c r="A333" s="1" t="s">
        <v>425</v>
      </c>
      <c r="B333" s="1" t="s">
        <v>5</v>
      </c>
      <c r="C333" s="1" t="s">
        <v>39</v>
      </c>
      <c r="D333" s="1">
        <v>1</v>
      </c>
      <c r="E333" s="1">
        <f t="shared" si="5"/>
        <v>2</v>
      </c>
      <c r="F333" s="7">
        <v>3000000</v>
      </c>
      <c r="G333" s="5"/>
    </row>
    <row r="334" spans="1:7" ht="14.45">
      <c r="A334" s="1" t="s">
        <v>426</v>
      </c>
      <c r="B334" s="1" t="s">
        <v>24</v>
      </c>
      <c r="C334" s="1" t="s">
        <v>40</v>
      </c>
      <c r="D334" s="1">
        <v>3</v>
      </c>
      <c r="E334" s="1">
        <f t="shared" si="5"/>
        <v>6</v>
      </c>
      <c r="F334" s="7">
        <v>3000000</v>
      </c>
      <c r="G334" s="5"/>
    </row>
    <row r="335" spans="1:7" ht="14.45">
      <c r="A335" s="1" t="s">
        <v>427</v>
      </c>
      <c r="B335" s="1" t="s">
        <v>14</v>
      </c>
      <c r="C335" s="1" t="s">
        <v>39</v>
      </c>
      <c r="D335" s="1">
        <v>3</v>
      </c>
      <c r="E335" s="1">
        <f t="shared" si="5"/>
        <v>6</v>
      </c>
      <c r="F335" s="7">
        <v>3000000</v>
      </c>
      <c r="G335" s="5"/>
    </row>
    <row r="336" spans="1:7" ht="14.45">
      <c r="A336" s="1" t="s">
        <v>428</v>
      </c>
      <c r="B336" s="1" t="s">
        <v>10</v>
      </c>
      <c r="C336" s="1" t="s">
        <v>40</v>
      </c>
      <c r="D336" s="1">
        <v>4</v>
      </c>
      <c r="E336" s="1">
        <f t="shared" si="5"/>
        <v>8</v>
      </c>
      <c r="F336" s="7">
        <v>3000000</v>
      </c>
      <c r="G336" s="5"/>
    </row>
    <row r="337" spans="1:7" ht="14.45">
      <c r="A337" s="1" t="s">
        <v>429</v>
      </c>
      <c r="B337" s="1" t="s">
        <v>28</v>
      </c>
      <c r="C337" s="1" t="s">
        <v>36</v>
      </c>
      <c r="D337" s="1">
        <v>8</v>
      </c>
      <c r="E337" s="1">
        <f t="shared" si="5"/>
        <v>16</v>
      </c>
      <c r="F337" s="7">
        <v>2975000</v>
      </c>
      <c r="G337" s="5"/>
    </row>
    <row r="338" spans="1:7" ht="14.45">
      <c r="A338" s="1" t="s">
        <v>430</v>
      </c>
      <c r="B338" s="1" t="s">
        <v>21</v>
      </c>
      <c r="C338" s="1" t="s">
        <v>40</v>
      </c>
      <c r="D338" s="1">
        <v>9</v>
      </c>
      <c r="E338" s="1">
        <f t="shared" si="5"/>
        <v>18</v>
      </c>
      <c r="F338" s="7">
        <v>2975000</v>
      </c>
      <c r="G338" s="5"/>
    </row>
    <row r="339" spans="1:7" ht="14.45">
      <c r="A339" s="1" t="s">
        <v>431</v>
      </c>
      <c r="B339" s="1" t="s">
        <v>14</v>
      </c>
      <c r="C339" s="1" t="s">
        <v>40</v>
      </c>
      <c r="D339" s="1">
        <v>6</v>
      </c>
      <c r="E339" s="1">
        <f t="shared" si="5"/>
        <v>12</v>
      </c>
      <c r="F339" s="7">
        <v>2950000</v>
      </c>
      <c r="G339" s="5"/>
    </row>
    <row r="340" spans="1:7" ht="14.45">
      <c r="A340" s="1" t="s">
        <v>432</v>
      </c>
      <c r="B340" s="1" t="s">
        <v>24</v>
      </c>
      <c r="C340" s="1" t="s">
        <v>43</v>
      </c>
      <c r="D340" s="1">
        <v>4</v>
      </c>
      <c r="E340" s="1">
        <f t="shared" si="5"/>
        <v>8</v>
      </c>
      <c r="F340" s="7">
        <v>2950000</v>
      </c>
      <c r="G340" s="5"/>
    </row>
    <row r="341" spans="1:7" ht="14.45">
      <c r="A341" s="1" t="s">
        <v>433</v>
      </c>
      <c r="B341" s="1" t="s">
        <v>9</v>
      </c>
      <c r="C341" s="1" t="s">
        <v>43</v>
      </c>
      <c r="D341" s="1">
        <v>9</v>
      </c>
      <c r="E341" s="1">
        <f t="shared" si="5"/>
        <v>18</v>
      </c>
      <c r="F341" s="7">
        <v>2916666</v>
      </c>
      <c r="G341" s="5"/>
    </row>
    <row r="342" spans="1:7" ht="14.45">
      <c r="A342" s="1" t="s">
        <v>434</v>
      </c>
      <c r="B342" s="1" t="s">
        <v>18</v>
      </c>
      <c r="C342" s="1" t="s">
        <v>39</v>
      </c>
      <c r="D342" s="1">
        <v>6</v>
      </c>
      <c r="E342" s="1">
        <f t="shared" si="5"/>
        <v>12</v>
      </c>
      <c r="F342" s="7">
        <v>2900000</v>
      </c>
      <c r="G342" s="5"/>
    </row>
    <row r="343" spans="1:7" ht="14.45">
      <c r="A343" s="1" t="s">
        <v>435</v>
      </c>
      <c r="B343" s="1" t="s">
        <v>18</v>
      </c>
      <c r="C343" s="1" t="s">
        <v>36</v>
      </c>
      <c r="D343" s="1">
        <v>8</v>
      </c>
      <c r="E343" s="1">
        <f t="shared" si="5"/>
        <v>16</v>
      </c>
      <c r="F343" s="7">
        <v>2900000</v>
      </c>
      <c r="G343" s="5"/>
    </row>
    <row r="344" spans="1:7" ht="14.45">
      <c r="A344" s="1" t="s">
        <v>436</v>
      </c>
      <c r="B344" s="1" t="s">
        <v>15</v>
      </c>
      <c r="C344" s="1" t="s">
        <v>40</v>
      </c>
      <c r="D344" s="1">
        <v>5</v>
      </c>
      <c r="E344" s="1">
        <f t="shared" si="5"/>
        <v>10</v>
      </c>
      <c r="F344" s="7">
        <v>2860000</v>
      </c>
      <c r="G344" s="5"/>
    </row>
    <row r="345" spans="1:7" ht="14.45">
      <c r="A345" s="1" t="s">
        <v>437</v>
      </c>
      <c r="B345" s="1" t="s">
        <v>10</v>
      </c>
      <c r="C345" s="1" t="s">
        <v>43</v>
      </c>
      <c r="D345" s="1">
        <v>4</v>
      </c>
      <c r="E345" s="1">
        <f t="shared" si="5"/>
        <v>8</v>
      </c>
      <c r="F345" s="7">
        <v>2828600</v>
      </c>
      <c r="G345" s="5"/>
    </row>
    <row r="346" spans="1:7" ht="14.45">
      <c r="A346" s="1" t="s">
        <v>438</v>
      </c>
      <c r="B346" s="1" t="s">
        <v>22</v>
      </c>
      <c r="C346" s="1" t="s">
        <v>39</v>
      </c>
      <c r="D346" s="1">
        <v>5</v>
      </c>
      <c r="E346" s="1">
        <f t="shared" si="5"/>
        <v>10</v>
      </c>
      <c r="F346" s="7">
        <v>2825000</v>
      </c>
      <c r="G346" s="5"/>
    </row>
    <row r="347" spans="1:7" ht="14.45">
      <c r="A347" s="1" t="s">
        <v>439</v>
      </c>
      <c r="B347" s="1" t="s">
        <v>13</v>
      </c>
      <c r="C347" s="1" t="s">
        <v>40</v>
      </c>
      <c r="D347" s="1">
        <v>5</v>
      </c>
      <c r="E347" s="1">
        <f t="shared" si="5"/>
        <v>10</v>
      </c>
      <c r="F347" s="7">
        <v>2800000</v>
      </c>
      <c r="G347" s="5"/>
    </row>
    <row r="348" spans="1:7" ht="14.45">
      <c r="A348" s="1" t="s">
        <v>440</v>
      </c>
      <c r="B348" s="1" t="s">
        <v>15</v>
      </c>
      <c r="C348" s="1" t="s">
        <v>36</v>
      </c>
      <c r="D348" s="1">
        <v>6</v>
      </c>
      <c r="E348" s="1">
        <f t="shared" si="5"/>
        <v>12</v>
      </c>
      <c r="F348" s="7">
        <v>2800000</v>
      </c>
      <c r="G348" s="5"/>
    </row>
    <row r="349" spans="1:7" ht="14.45">
      <c r="A349" s="1" t="s">
        <v>441</v>
      </c>
      <c r="B349" s="1" t="s">
        <v>2</v>
      </c>
      <c r="C349" s="1" t="s">
        <v>40</v>
      </c>
      <c r="D349" s="1">
        <v>2</v>
      </c>
      <c r="E349" s="1">
        <f t="shared" si="5"/>
        <v>4</v>
      </c>
      <c r="F349" s="7">
        <v>2750000</v>
      </c>
      <c r="G349" s="5"/>
    </row>
    <row r="350" spans="1:7" ht="14.45">
      <c r="A350" s="1" t="s">
        <v>442</v>
      </c>
      <c r="B350" s="1" t="s">
        <v>10</v>
      </c>
      <c r="C350" s="1" t="s">
        <v>39</v>
      </c>
      <c r="D350" s="1">
        <v>2</v>
      </c>
      <c r="E350" s="1">
        <f t="shared" si="5"/>
        <v>4</v>
      </c>
      <c r="F350" s="7">
        <v>2750000</v>
      </c>
      <c r="G350" s="5"/>
    </row>
    <row r="351" spans="1:7" ht="14.45">
      <c r="A351" s="1" t="s">
        <v>443</v>
      </c>
      <c r="B351" s="1" t="s">
        <v>28</v>
      </c>
      <c r="C351" s="1" t="s">
        <v>40</v>
      </c>
      <c r="D351" s="1">
        <v>2</v>
      </c>
      <c r="E351" s="1">
        <f t="shared" si="5"/>
        <v>4</v>
      </c>
      <c r="F351" s="7">
        <v>2750000</v>
      </c>
      <c r="G351" s="5"/>
    </row>
    <row r="352" spans="1:7" ht="14.45">
      <c r="A352" s="1" t="s">
        <v>444</v>
      </c>
      <c r="B352" s="1" t="s">
        <v>25</v>
      </c>
      <c r="C352" s="1" t="s">
        <v>40</v>
      </c>
      <c r="D352" s="1">
        <v>1</v>
      </c>
      <c r="E352" s="1">
        <f t="shared" si="5"/>
        <v>2</v>
      </c>
      <c r="F352" s="7">
        <v>2725000</v>
      </c>
      <c r="G352" s="5"/>
    </row>
    <row r="353" spans="1:7" ht="14.45">
      <c r="A353" s="1" t="s">
        <v>445</v>
      </c>
      <c r="B353" s="1" t="s">
        <v>31</v>
      </c>
      <c r="C353" s="1" t="s">
        <v>40</v>
      </c>
      <c r="D353" s="1">
        <v>2</v>
      </c>
      <c r="E353" s="1">
        <f t="shared" si="5"/>
        <v>4</v>
      </c>
      <c r="F353" s="7">
        <v>2712500</v>
      </c>
      <c r="G353" s="5"/>
    </row>
    <row r="354" spans="1:7" ht="14.45">
      <c r="A354" s="1" t="s">
        <v>446</v>
      </c>
      <c r="B354" s="1" t="s">
        <v>32</v>
      </c>
      <c r="C354" s="1" t="s">
        <v>40</v>
      </c>
      <c r="D354" s="1">
        <v>2</v>
      </c>
      <c r="E354" s="1">
        <f t="shared" si="5"/>
        <v>4</v>
      </c>
      <c r="F354" s="7">
        <v>2700000</v>
      </c>
      <c r="G354" s="5"/>
    </row>
    <row r="355" spans="1:7" ht="14.45">
      <c r="A355" s="1" t="s">
        <v>447</v>
      </c>
      <c r="B355" s="1" t="s">
        <v>16</v>
      </c>
      <c r="C355" s="1" t="s">
        <v>39</v>
      </c>
      <c r="D355" s="1">
        <v>2</v>
      </c>
      <c r="E355" s="1">
        <f t="shared" si="5"/>
        <v>4</v>
      </c>
      <c r="F355" s="7">
        <v>2600000</v>
      </c>
      <c r="G355" s="5"/>
    </row>
    <row r="356" spans="1:7" ht="14.45">
      <c r="A356" s="1" t="s">
        <v>448</v>
      </c>
      <c r="B356" s="1" t="s">
        <v>32</v>
      </c>
      <c r="C356" s="1" t="s">
        <v>39</v>
      </c>
      <c r="D356" s="1">
        <v>2</v>
      </c>
      <c r="E356" s="1">
        <f t="shared" si="5"/>
        <v>4</v>
      </c>
      <c r="F356" s="7">
        <v>2600000</v>
      </c>
      <c r="G356" s="5"/>
    </row>
    <row r="357" spans="1:7" ht="14.45">
      <c r="A357" s="1" t="s">
        <v>449</v>
      </c>
      <c r="B357" s="1" t="s">
        <v>19</v>
      </c>
      <c r="C357" s="1" t="s">
        <v>41</v>
      </c>
      <c r="D357" s="1">
        <v>2</v>
      </c>
      <c r="E357" s="1">
        <f t="shared" si="5"/>
        <v>4</v>
      </c>
      <c r="F357" s="7">
        <v>2550000</v>
      </c>
      <c r="G357" s="5"/>
    </row>
    <row r="358" spans="1:7" ht="14.45">
      <c r="A358" s="1" t="s">
        <v>450</v>
      </c>
      <c r="B358" s="1" t="s">
        <v>33</v>
      </c>
      <c r="C358" s="1" t="s">
        <v>39</v>
      </c>
      <c r="D358" s="1">
        <v>2</v>
      </c>
      <c r="E358" s="1">
        <f t="shared" si="5"/>
        <v>4</v>
      </c>
      <c r="F358" s="7">
        <v>2525000</v>
      </c>
      <c r="G358" s="5"/>
    </row>
    <row r="359" spans="1:7" ht="14.45">
      <c r="A359" s="1" t="s">
        <v>451</v>
      </c>
      <c r="B359" s="1" t="s">
        <v>9</v>
      </c>
      <c r="C359" s="1" t="s">
        <v>40</v>
      </c>
      <c r="D359" s="1">
        <v>3</v>
      </c>
      <c r="E359" s="1">
        <f t="shared" si="5"/>
        <v>6</v>
      </c>
      <c r="F359" s="7">
        <v>2500000</v>
      </c>
      <c r="G359" s="5"/>
    </row>
    <row r="360" spans="1:7" ht="14.45">
      <c r="A360" s="1" t="s">
        <v>452</v>
      </c>
      <c r="B360" s="1" t="s">
        <v>19</v>
      </c>
      <c r="C360" s="1" t="s">
        <v>40</v>
      </c>
      <c r="D360" s="1">
        <v>1</v>
      </c>
      <c r="E360" s="1">
        <f t="shared" si="5"/>
        <v>2</v>
      </c>
      <c r="F360" s="7">
        <v>2500000</v>
      </c>
      <c r="G360" s="5"/>
    </row>
    <row r="361" spans="1:7" ht="14.45">
      <c r="A361" s="1" t="s">
        <v>453</v>
      </c>
      <c r="B361" s="1" t="s">
        <v>14</v>
      </c>
      <c r="C361" s="1" t="s">
        <v>42</v>
      </c>
      <c r="D361" s="1">
        <v>2</v>
      </c>
      <c r="E361" s="1">
        <f t="shared" si="5"/>
        <v>4</v>
      </c>
      <c r="F361" s="7">
        <v>2500000</v>
      </c>
      <c r="G361" s="5"/>
    </row>
    <row r="362" spans="1:7" ht="14.45">
      <c r="A362" s="1" t="s">
        <v>454</v>
      </c>
      <c r="B362" s="1" t="s">
        <v>19</v>
      </c>
      <c r="C362" s="1" t="s">
        <v>40</v>
      </c>
      <c r="D362" s="1">
        <v>5</v>
      </c>
      <c r="E362" s="1">
        <f t="shared" si="5"/>
        <v>10</v>
      </c>
      <c r="F362" s="7">
        <v>2500000</v>
      </c>
      <c r="G362" s="5"/>
    </row>
    <row r="363" spans="1:7" ht="14.45">
      <c r="A363" s="1" t="s">
        <v>455</v>
      </c>
      <c r="B363" s="1" t="s">
        <v>27</v>
      </c>
      <c r="C363" s="1" t="s">
        <v>36</v>
      </c>
      <c r="D363" s="1">
        <v>4</v>
      </c>
      <c r="E363" s="1">
        <f t="shared" si="5"/>
        <v>8</v>
      </c>
      <c r="F363" s="7">
        <v>2500000</v>
      </c>
      <c r="G363" s="5"/>
    </row>
    <row r="364" spans="1:7" ht="14.45">
      <c r="A364" s="1" t="s">
        <v>456</v>
      </c>
      <c r="B364" s="1" t="s">
        <v>30</v>
      </c>
      <c r="C364" s="1" t="s">
        <v>40</v>
      </c>
      <c r="D364" s="1">
        <v>6</v>
      </c>
      <c r="E364" s="1">
        <f t="shared" si="5"/>
        <v>12</v>
      </c>
      <c r="F364" s="7">
        <v>2500000</v>
      </c>
      <c r="G364" s="5"/>
    </row>
    <row r="365" spans="1:7" ht="14.45">
      <c r="A365" s="1" t="s">
        <v>457</v>
      </c>
      <c r="B365" s="1" t="s">
        <v>27</v>
      </c>
      <c r="C365" s="1" t="s">
        <v>40</v>
      </c>
      <c r="D365" s="1">
        <v>4</v>
      </c>
      <c r="E365" s="1">
        <f t="shared" si="5"/>
        <v>8</v>
      </c>
      <c r="F365" s="7">
        <v>2500000</v>
      </c>
      <c r="G365" s="5"/>
    </row>
    <row r="366" spans="1:7" ht="14.45">
      <c r="A366" s="1" t="s">
        <v>458</v>
      </c>
      <c r="B366" s="1" t="s">
        <v>13</v>
      </c>
      <c r="C366" s="1" t="s">
        <v>40</v>
      </c>
      <c r="D366" s="1">
        <v>5</v>
      </c>
      <c r="E366" s="1">
        <f t="shared" si="5"/>
        <v>10</v>
      </c>
      <c r="F366" s="7">
        <v>2450000</v>
      </c>
      <c r="G366" s="5"/>
    </row>
    <row r="367" spans="1:7" ht="14.45">
      <c r="A367" s="1" t="s">
        <v>459</v>
      </c>
      <c r="B367" s="1" t="s">
        <v>8</v>
      </c>
      <c r="C367" s="1" t="s">
        <v>40</v>
      </c>
      <c r="D367" s="1">
        <v>6</v>
      </c>
      <c r="E367" s="1">
        <f t="shared" si="5"/>
        <v>12</v>
      </c>
      <c r="F367" s="7">
        <v>2450000</v>
      </c>
      <c r="G367" s="5"/>
    </row>
    <row r="368" spans="1:7" ht="14.45">
      <c r="A368" s="1" t="s">
        <v>460</v>
      </c>
      <c r="B368" s="1" t="s">
        <v>10</v>
      </c>
      <c r="C368" s="1" t="s">
        <v>40</v>
      </c>
      <c r="D368" s="1">
        <v>4</v>
      </c>
      <c r="E368" s="1">
        <f t="shared" si="5"/>
        <v>8</v>
      </c>
      <c r="F368" s="7">
        <v>2450000</v>
      </c>
      <c r="G368" s="5"/>
    </row>
    <row r="369" spans="1:7" ht="14.45">
      <c r="A369" s="1" t="s">
        <v>461</v>
      </c>
      <c r="B369" s="1" t="s">
        <v>13</v>
      </c>
      <c r="C369" s="1" t="s">
        <v>40</v>
      </c>
      <c r="D369" s="1">
        <v>5</v>
      </c>
      <c r="E369" s="1">
        <f t="shared" si="5"/>
        <v>10</v>
      </c>
      <c r="F369" s="7">
        <v>2440000</v>
      </c>
      <c r="G369" s="5"/>
    </row>
    <row r="370" spans="1:7" ht="14.45">
      <c r="A370" s="1" t="s">
        <v>462</v>
      </c>
      <c r="B370" s="1" t="s">
        <v>19</v>
      </c>
      <c r="C370" s="1" t="s">
        <v>41</v>
      </c>
      <c r="D370" s="1">
        <v>8</v>
      </c>
      <c r="E370" s="1">
        <f t="shared" si="5"/>
        <v>16</v>
      </c>
      <c r="F370" s="7">
        <v>2400000</v>
      </c>
      <c r="G370" s="5"/>
    </row>
    <row r="371" spans="1:7" ht="14.45">
      <c r="A371" s="1" t="s">
        <v>463</v>
      </c>
      <c r="B371" s="1" t="s">
        <v>6</v>
      </c>
      <c r="C371" s="1" t="s">
        <v>40</v>
      </c>
      <c r="D371" s="1">
        <v>4</v>
      </c>
      <c r="E371" s="1">
        <f t="shared" si="5"/>
        <v>8</v>
      </c>
      <c r="F371" s="7">
        <v>2375000</v>
      </c>
      <c r="G371" s="5"/>
    </row>
    <row r="372" spans="1:7" ht="14.45">
      <c r="A372" s="1" t="s">
        <v>464</v>
      </c>
      <c r="B372" s="1" t="s">
        <v>12</v>
      </c>
      <c r="C372" s="1" t="s">
        <v>36</v>
      </c>
      <c r="D372" s="1">
        <v>6</v>
      </c>
      <c r="E372" s="1">
        <f t="shared" si="5"/>
        <v>12</v>
      </c>
      <c r="F372" s="7">
        <v>2375000</v>
      </c>
      <c r="G372" s="5"/>
    </row>
    <row r="373" spans="1:7" ht="14.45">
      <c r="A373" s="1" t="s">
        <v>465</v>
      </c>
      <c r="B373" s="1" t="s">
        <v>23</v>
      </c>
      <c r="C373" s="1" t="s">
        <v>40</v>
      </c>
      <c r="D373" s="1">
        <v>1</v>
      </c>
      <c r="E373" s="1">
        <f t="shared" si="5"/>
        <v>2</v>
      </c>
      <c r="F373" s="7">
        <v>2360000</v>
      </c>
      <c r="G373" s="5"/>
    </row>
    <row r="374" spans="1:7" ht="14.45">
      <c r="A374" s="1" t="s">
        <v>466</v>
      </c>
      <c r="B374" s="1" t="s">
        <v>8</v>
      </c>
      <c r="C374" s="1" t="s">
        <v>43</v>
      </c>
      <c r="D374" s="1">
        <v>7</v>
      </c>
      <c r="E374" s="1">
        <f t="shared" si="5"/>
        <v>14</v>
      </c>
      <c r="F374" s="7">
        <v>2350000</v>
      </c>
      <c r="G374" s="5"/>
    </row>
    <row r="375" spans="1:7" ht="14.45">
      <c r="A375" s="1" t="s">
        <v>467</v>
      </c>
      <c r="B375" s="1" t="s">
        <v>14</v>
      </c>
      <c r="C375" s="1" t="s">
        <v>36</v>
      </c>
      <c r="D375" s="1">
        <v>8</v>
      </c>
      <c r="E375" s="1">
        <f t="shared" si="5"/>
        <v>16</v>
      </c>
      <c r="F375" s="7">
        <v>2300000</v>
      </c>
      <c r="G375" s="5"/>
    </row>
    <row r="376" spans="1:7" ht="14.45">
      <c r="A376" s="1" t="s">
        <v>468</v>
      </c>
      <c r="B376" s="1" t="s">
        <v>30</v>
      </c>
      <c r="C376" s="1" t="s">
        <v>38</v>
      </c>
      <c r="D376" s="1">
        <v>8</v>
      </c>
      <c r="E376" s="1">
        <f t="shared" si="5"/>
        <v>16</v>
      </c>
      <c r="F376" s="7">
        <v>2300000</v>
      </c>
      <c r="G376" s="5"/>
    </row>
    <row r="377" spans="1:7" ht="14.45">
      <c r="A377" s="1" t="s">
        <v>469</v>
      </c>
      <c r="B377" s="1" t="s">
        <v>8</v>
      </c>
      <c r="C377" s="1" t="s">
        <v>40</v>
      </c>
      <c r="D377" s="1">
        <v>4</v>
      </c>
      <c r="E377" s="1">
        <f t="shared" si="5"/>
        <v>8</v>
      </c>
      <c r="F377" s="7">
        <v>2300000</v>
      </c>
      <c r="G377" s="5"/>
    </row>
    <row r="378" spans="1:7" ht="14.45">
      <c r="A378" s="1" t="s">
        <v>470</v>
      </c>
      <c r="B378" s="1" t="s">
        <v>16</v>
      </c>
      <c r="C378" s="1" t="s">
        <v>40</v>
      </c>
      <c r="D378" s="1">
        <v>5</v>
      </c>
      <c r="E378" s="1">
        <f t="shared" si="5"/>
        <v>10</v>
      </c>
      <c r="F378" s="7">
        <v>2300000</v>
      </c>
      <c r="G378" s="5"/>
    </row>
    <row r="379" spans="1:7" ht="14.45">
      <c r="A379" s="1" t="s">
        <v>471</v>
      </c>
      <c r="B379" s="1" t="s">
        <v>26</v>
      </c>
      <c r="C379" s="1" t="s">
        <v>40</v>
      </c>
      <c r="D379" s="1">
        <v>5</v>
      </c>
      <c r="E379" s="1">
        <f t="shared" si="5"/>
        <v>10</v>
      </c>
      <c r="F379" s="7">
        <v>2250000</v>
      </c>
      <c r="G379" s="5"/>
    </row>
    <row r="380" spans="1:7" ht="14.45">
      <c r="A380" s="1" t="s">
        <v>472</v>
      </c>
      <c r="B380" s="1" t="s">
        <v>31</v>
      </c>
      <c r="C380" s="1" t="s">
        <v>36</v>
      </c>
      <c r="D380" s="1">
        <v>6</v>
      </c>
      <c r="E380" s="1">
        <f t="shared" si="5"/>
        <v>12</v>
      </c>
      <c r="F380" s="7">
        <v>2250000</v>
      </c>
      <c r="G380" s="5"/>
    </row>
    <row r="381" spans="1:7" ht="14.45">
      <c r="A381" s="1" t="s">
        <v>473</v>
      </c>
      <c r="B381" s="1" t="s">
        <v>2</v>
      </c>
      <c r="C381" s="1" t="s">
        <v>40</v>
      </c>
      <c r="D381" s="1">
        <v>2</v>
      </c>
      <c r="E381" s="1">
        <f t="shared" si="5"/>
        <v>4</v>
      </c>
      <c r="F381" s="7">
        <v>2250000</v>
      </c>
      <c r="G381" s="5"/>
    </row>
    <row r="382" spans="1:7" ht="14.45">
      <c r="A382" s="1" t="s">
        <v>474</v>
      </c>
      <c r="B382" s="1" t="s">
        <v>2</v>
      </c>
      <c r="C382" s="1" t="s">
        <v>40</v>
      </c>
      <c r="D382" s="1">
        <v>2</v>
      </c>
      <c r="E382" s="1">
        <f t="shared" si="5"/>
        <v>4</v>
      </c>
      <c r="F382" s="7">
        <v>2250000</v>
      </c>
      <c r="G382" s="5"/>
    </row>
    <row r="383" spans="1:7" ht="14.45">
      <c r="A383" s="1" t="s">
        <v>475</v>
      </c>
      <c r="B383" s="1" t="s">
        <v>6</v>
      </c>
      <c r="C383" s="1" t="s">
        <v>41</v>
      </c>
      <c r="D383" s="1">
        <v>2</v>
      </c>
      <c r="E383" s="1">
        <f t="shared" si="5"/>
        <v>4</v>
      </c>
      <c r="F383" s="7">
        <v>2225000</v>
      </c>
      <c r="G383" s="5"/>
    </row>
    <row r="384" spans="1:7" ht="14.45">
      <c r="A384" s="1" t="s">
        <v>476</v>
      </c>
      <c r="B384" s="1" t="s">
        <v>16</v>
      </c>
      <c r="C384" s="1" t="s">
        <v>40</v>
      </c>
      <c r="D384" s="1">
        <v>1</v>
      </c>
      <c r="E384" s="1">
        <f t="shared" si="5"/>
        <v>2</v>
      </c>
      <c r="F384" s="7">
        <v>2200000</v>
      </c>
      <c r="G384" s="5"/>
    </row>
    <row r="385" spans="1:7" ht="14.45">
      <c r="A385" s="1" t="s">
        <v>477</v>
      </c>
      <c r="B385" s="1" t="s">
        <v>3</v>
      </c>
      <c r="C385" s="1" t="s">
        <v>40</v>
      </c>
      <c r="D385" s="1">
        <v>2</v>
      </c>
      <c r="E385" s="1">
        <f t="shared" si="5"/>
        <v>4</v>
      </c>
      <c r="F385" s="7">
        <v>2200000</v>
      </c>
      <c r="G385" s="5"/>
    </row>
    <row r="386" spans="1:7" ht="14.45">
      <c r="A386" s="1" t="s">
        <v>478</v>
      </c>
      <c r="B386" s="1" t="s">
        <v>29</v>
      </c>
      <c r="C386" s="1" t="s">
        <v>40</v>
      </c>
      <c r="D386" s="1">
        <v>2</v>
      </c>
      <c r="E386" s="1">
        <f t="shared" ref="E386:E406" si="6">D386*2</f>
        <v>4</v>
      </c>
      <c r="F386" s="7">
        <v>2170000</v>
      </c>
      <c r="G386" s="5"/>
    </row>
    <row r="387" spans="1:7" ht="14.45">
      <c r="A387" s="1" t="s">
        <v>479</v>
      </c>
      <c r="B387" s="1" t="s">
        <v>23</v>
      </c>
      <c r="C387" s="1" t="s">
        <v>40</v>
      </c>
      <c r="D387" s="1">
        <v>2</v>
      </c>
      <c r="E387" s="1">
        <f t="shared" si="6"/>
        <v>4</v>
      </c>
      <c r="F387" s="7">
        <v>2150000</v>
      </c>
      <c r="G387" s="5"/>
    </row>
    <row r="388" spans="1:7" ht="14.45">
      <c r="A388" s="1" t="s">
        <v>480</v>
      </c>
      <c r="B388" s="1" t="s">
        <v>23</v>
      </c>
      <c r="C388" s="1" t="s">
        <v>40</v>
      </c>
      <c r="D388" s="1">
        <v>2</v>
      </c>
      <c r="E388" s="1">
        <f t="shared" si="6"/>
        <v>4</v>
      </c>
      <c r="F388" s="7">
        <v>2150000</v>
      </c>
      <c r="G388" s="5"/>
    </row>
    <row r="389" spans="1:7" ht="14.45">
      <c r="A389" s="1" t="s">
        <v>481</v>
      </c>
      <c r="B389" s="1" t="s">
        <v>20</v>
      </c>
      <c r="C389" s="1" t="s">
        <v>40</v>
      </c>
      <c r="D389" s="1">
        <v>2</v>
      </c>
      <c r="E389" s="1">
        <f t="shared" si="6"/>
        <v>4</v>
      </c>
      <c r="F389" s="7">
        <v>2150000</v>
      </c>
      <c r="G389" s="5"/>
    </row>
    <row r="390" spans="1:7" ht="14.45">
      <c r="A390" s="1" t="s">
        <v>482</v>
      </c>
      <c r="B390" s="1" t="s">
        <v>9</v>
      </c>
      <c r="C390" s="1" t="s">
        <v>40</v>
      </c>
      <c r="D390" s="1">
        <v>2</v>
      </c>
      <c r="E390" s="1">
        <f t="shared" si="6"/>
        <v>4</v>
      </c>
      <c r="F390" s="7">
        <v>2125000</v>
      </c>
      <c r="G390" s="5"/>
    </row>
    <row r="391" spans="1:7" ht="14.45">
      <c r="A391" s="1" t="s">
        <v>483</v>
      </c>
      <c r="B391" s="1" t="s">
        <v>6</v>
      </c>
      <c r="C391" s="1" t="s">
        <v>40</v>
      </c>
      <c r="D391" s="1">
        <v>3</v>
      </c>
      <c r="E391" s="1">
        <f t="shared" si="6"/>
        <v>6</v>
      </c>
      <c r="F391" s="7">
        <v>2050000</v>
      </c>
      <c r="G391" s="5"/>
    </row>
    <row r="392" spans="1:7" ht="14.45">
      <c r="A392" s="1" t="s">
        <v>484</v>
      </c>
      <c r="B392" s="1" t="s">
        <v>20</v>
      </c>
      <c r="C392" s="1" t="s">
        <v>40</v>
      </c>
      <c r="D392" s="1">
        <v>1</v>
      </c>
      <c r="E392" s="1">
        <f t="shared" si="6"/>
        <v>2</v>
      </c>
      <c r="F392" s="7">
        <v>2000000</v>
      </c>
      <c r="G392" s="5"/>
    </row>
    <row r="393" spans="1:7" ht="14.45">
      <c r="A393" s="1" t="s">
        <v>485</v>
      </c>
      <c r="B393" s="1" t="s">
        <v>2</v>
      </c>
      <c r="C393" s="1" t="s">
        <v>36</v>
      </c>
      <c r="D393" s="1">
        <v>2</v>
      </c>
      <c r="E393" s="1">
        <f t="shared" si="6"/>
        <v>4</v>
      </c>
      <c r="F393" s="7">
        <v>2000000</v>
      </c>
      <c r="G393" s="5"/>
    </row>
    <row r="394" spans="1:7" ht="14.45">
      <c r="A394" s="1" t="s">
        <v>486</v>
      </c>
      <c r="B394" s="1" t="s">
        <v>32</v>
      </c>
      <c r="C394" s="1" t="s">
        <v>42</v>
      </c>
      <c r="D394" s="1">
        <v>5</v>
      </c>
      <c r="E394" s="1">
        <f t="shared" si="6"/>
        <v>10</v>
      </c>
      <c r="F394" s="7">
        <v>2000000</v>
      </c>
      <c r="G394" s="5"/>
    </row>
    <row r="395" spans="1:7" ht="14.45">
      <c r="A395" s="1" t="s">
        <v>487</v>
      </c>
      <c r="B395" s="1" t="s">
        <v>11</v>
      </c>
      <c r="C395" s="1" t="s">
        <v>40</v>
      </c>
      <c r="D395" s="1">
        <v>4</v>
      </c>
      <c r="E395" s="1">
        <f t="shared" si="6"/>
        <v>8</v>
      </c>
      <c r="F395" s="7">
        <v>2000000</v>
      </c>
      <c r="G395" s="5"/>
    </row>
    <row r="396" spans="1:7" ht="14.45">
      <c r="A396" s="1" t="s">
        <v>488</v>
      </c>
      <c r="B396" s="1" t="s">
        <v>15</v>
      </c>
      <c r="C396" s="1" t="s">
        <v>39</v>
      </c>
      <c r="D396" s="1">
        <v>6</v>
      </c>
      <c r="E396" s="1">
        <f t="shared" si="6"/>
        <v>12</v>
      </c>
      <c r="F396" s="7">
        <v>2000000</v>
      </c>
      <c r="G396" s="5"/>
    </row>
    <row r="397" spans="1:7" ht="14.45">
      <c r="A397" s="1" t="s">
        <v>489</v>
      </c>
      <c r="B397" s="1" t="s">
        <v>2</v>
      </c>
      <c r="C397" s="1" t="s">
        <v>38</v>
      </c>
      <c r="D397" s="1">
        <v>4</v>
      </c>
      <c r="E397" s="1">
        <f t="shared" si="6"/>
        <v>8</v>
      </c>
      <c r="F397" s="7">
        <v>2000000</v>
      </c>
      <c r="G397" s="5"/>
    </row>
    <row r="398" spans="1:7" ht="14.45">
      <c r="A398" s="1" t="s">
        <v>490</v>
      </c>
      <c r="B398" s="1" t="s">
        <v>8</v>
      </c>
      <c r="C398" s="1" t="s">
        <v>40</v>
      </c>
      <c r="D398" s="1">
        <v>5</v>
      </c>
      <c r="E398" s="1">
        <f t="shared" si="6"/>
        <v>10</v>
      </c>
      <c r="F398" s="7">
        <v>2000000</v>
      </c>
      <c r="G398" s="5"/>
    </row>
    <row r="399" spans="1:7" ht="14.45">
      <c r="A399" s="1" t="s">
        <v>491</v>
      </c>
      <c r="B399" s="1" t="s">
        <v>18</v>
      </c>
      <c r="C399" s="1" t="s">
        <v>40</v>
      </c>
      <c r="D399" s="1">
        <v>6</v>
      </c>
      <c r="E399" s="1">
        <f t="shared" si="6"/>
        <v>12</v>
      </c>
      <c r="F399" s="7">
        <v>2000000</v>
      </c>
      <c r="G399" s="5"/>
    </row>
    <row r="400" spans="1:7" ht="14.45">
      <c r="A400" s="1" t="s">
        <v>492</v>
      </c>
      <c r="B400" s="1" t="s">
        <v>21</v>
      </c>
      <c r="C400" s="1" t="s">
        <v>42</v>
      </c>
      <c r="D400" s="1">
        <v>4</v>
      </c>
      <c r="E400" s="1">
        <f t="shared" si="6"/>
        <v>8</v>
      </c>
      <c r="F400" s="7">
        <v>2000000</v>
      </c>
      <c r="G400" s="5"/>
    </row>
    <row r="401" spans="1:7" ht="14.45">
      <c r="A401" s="1" t="s">
        <v>493</v>
      </c>
      <c r="B401" s="1" t="s">
        <v>30</v>
      </c>
      <c r="C401" s="1" t="s">
        <v>40</v>
      </c>
      <c r="D401" s="1">
        <v>5</v>
      </c>
      <c r="E401" s="1">
        <f t="shared" si="6"/>
        <v>10</v>
      </c>
      <c r="F401" s="7">
        <v>2000000</v>
      </c>
      <c r="G401" s="5"/>
    </row>
    <row r="402" spans="1:7" ht="14.45">
      <c r="A402" s="1" t="s">
        <v>494</v>
      </c>
      <c r="B402" s="1" t="s">
        <v>20</v>
      </c>
      <c r="C402" s="1" t="s">
        <v>39</v>
      </c>
      <c r="D402" s="1">
        <v>8</v>
      </c>
      <c r="E402" s="1">
        <f t="shared" si="6"/>
        <v>16</v>
      </c>
      <c r="F402" s="7">
        <v>2000000</v>
      </c>
      <c r="G402" s="5"/>
    </row>
    <row r="403" spans="1:7" ht="14.45">
      <c r="A403" s="1" t="s">
        <v>495</v>
      </c>
      <c r="B403" s="1" t="s">
        <v>32</v>
      </c>
      <c r="C403" s="1" t="s">
        <v>40</v>
      </c>
      <c r="D403" s="1">
        <v>4</v>
      </c>
      <c r="E403" s="1">
        <f t="shared" si="6"/>
        <v>8</v>
      </c>
      <c r="F403" s="7">
        <v>2000000</v>
      </c>
      <c r="G403" s="5"/>
    </row>
    <row r="404" spans="1:7" ht="14.45">
      <c r="A404" s="1" t="s">
        <v>496</v>
      </c>
      <c r="B404" s="1" t="s">
        <v>16</v>
      </c>
      <c r="C404" s="1" t="s">
        <v>40</v>
      </c>
      <c r="D404" s="1">
        <v>6</v>
      </c>
      <c r="E404" s="1">
        <f t="shared" si="6"/>
        <v>12</v>
      </c>
      <c r="F404" s="7">
        <v>2000000</v>
      </c>
      <c r="G404" s="5"/>
    </row>
    <row r="405" spans="1:7" ht="14.45">
      <c r="A405" s="1" t="s">
        <v>497</v>
      </c>
      <c r="B405" s="1" t="s">
        <v>19</v>
      </c>
      <c r="C405" s="1" t="s">
        <v>41</v>
      </c>
      <c r="D405" s="1">
        <v>1</v>
      </c>
      <c r="E405" s="1">
        <f t="shared" si="6"/>
        <v>2</v>
      </c>
      <c r="F405" s="7">
        <v>1975000</v>
      </c>
      <c r="G405" s="5"/>
    </row>
    <row r="406" spans="1:7" ht="14.45">
      <c r="A406" s="1" t="s">
        <v>498</v>
      </c>
      <c r="B406" s="1" t="s">
        <v>6</v>
      </c>
      <c r="C406" s="1" t="s">
        <v>36</v>
      </c>
      <c r="D406" s="1">
        <v>7</v>
      </c>
      <c r="E406" s="1">
        <f t="shared" si="6"/>
        <v>14</v>
      </c>
      <c r="F406" s="7">
        <v>1950000</v>
      </c>
      <c r="G406" s="5"/>
    </row>
    <row r="407" spans="1:7" ht="14.45">
      <c r="A407" s="1" t="s">
        <v>499</v>
      </c>
      <c r="B407" s="1" t="s">
        <v>12</v>
      </c>
      <c r="C407" s="1" t="s">
        <v>40</v>
      </c>
      <c r="D407" s="1">
        <v>8</v>
      </c>
      <c r="E407" s="1">
        <v>14</v>
      </c>
      <c r="F407" s="7">
        <v>1950000</v>
      </c>
      <c r="G407" s="5"/>
    </row>
    <row r="408" spans="1:7" ht="14.45">
      <c r="A408" s="1" t="s">
        <v>500</v>
      </c>
      <c r="B408" s="1" t="s">
        <v>12</v>
      </c>
      <c r="C408" s="1" t="s">
        <v>40</v>
      </c>
      <c r="D408" s="1">
        <v>8</v>
      </c>
      <c r="E408" s="1">
        <v>14</v>
      </c>
      <c r="F408" s="7">
        <v>1925000</v>
      </c>
      <c r="G408" s="5"/>
    </row>
    <row r="409" spans="1:7" ht="14.45">
      <c r="A409" s="1" t="s">
        <v>501</v>
      </c>
      <c r="B409" s="1" t="s">
        <v>26</v>
      </c>
      <c r="C409" s="1" t="s">
        <v>40</v>
      </c>
      <c r="D409" s="1">
        <v>1</v>
      </c>
      <c r="E409" s="1">
        <f t="shared" ref="E409:E426" si="7">D409*2</f>
        <v>2</v>
      </c>
      <c r="F409" s="7">
        <v>1900000</v>
      </c>
      <c r="G409" s="5"/>
    </row>
    <row r="410" spans="1:7" ht="14.45">
      <c r="A410" s="1" t="s">
        <v>502</v>
      </c>
      <c r="B410" s="1" t="s">
        <v>13</v>
      </c>
      <c r="C410" s="1" t="s">
        <v>39</v>
      </c>
      <c r="D410" s="1">
        <v>10</v>
      </c>
      <c r="E410" s="1">
        <f t="shared" si="7"/>
        <v>20</v>
      </c>
      <c r="F410" s="7">
        <v>1900000</v>
      </c>
      <c r="G410" s="5"/>
    </row>
    <row r="411" spans="1:7" ht="14.45">
      <c r="A411" s="1" t="s">
        <v>503</v>
      </c>
      <c r="B411" s="1" t="s">
        <v>15</v>
      </c>
      <c r="C411" s="1" t="s">
        <v>40</v>
      </c>
      <c r="D411" s="1">
        <v>4</v>
      </c>
      <c r="E411" s="1">
        <f t="shared" si="7"/>
        <v>8</v>
      </c>
      <c r="F411" s="7">
        <v>1900000</v>
      </c>
      <c r="G411" s="5"/>
    </row>
    <row r="412" spans="1:7" ht="14.45">
      <c r="A412" s="1" t="s">
        <v>504</v>
      </c>
      <c r="B412" s="1" t="s">
        <v>23</v>
      </c>
      <c r="C412" s="1" t="s">
        <v>40</v>
      </c>
      <c r="D412" s="1">
        <v>4</v>
      </c>
      <c r="E412" s="1">
        <f t="shared" si="7"/>
        <v>8</v>
      </c>
      <c r="F412" s="7">
        <v>1900000</v>
      </c>
      <c r="G412" s="5"/>
    </row>
    <row r="413" spans="1:7" ht="14.45">
      <c r="A413" s="1" t="s">
        <v>505</v>
      </c>
      <c r="B413" s="1" t="s">
        <v>15</v>
      </c>
      <c r="C413" s="1" t="s">
        <v>40</v>
      </c>
      <c r="D413" s="1">
        <v>5</v>
      </c>
      <c r="E413" s="1">
        <f t="shared" si="7"/>
        <v>10</v>
      </c>
      <c r="F413" s="7">
        <v>1875000</v>
      </c>
      <c r="G413" s="5"/>
    </row>
    <row r="414" spans="1:7" ht="14.45">
      <c r="A414" s="1" t="s">
        <v>506</v>
      </c>
      <c r="B414" s="1" t="s">
        <v>2</v>
      </c>
      <c r="C414" s="1" t="s">
        <v>40</v>
      </c>
      <c r="D414" s="1">
        <v>6</v>
      </c>
      <c r="E414" s="1">
        <f t="shared" si="7"/>
        <v>12</v>
      </c>
      <c r="F414" s="7">
        <v>1850000</v>
      </c>
      <c r="G414" s="5"/>
    </row>
    <row r="415" spans="1:7" ht="14.45">
      <c r="A415" s="1" t="s">
        <v>507</v>
      </c>
      <c r="B415" s="1" t="s">
        <v>32</v>
      </c>
      <c r="C415" s="1" t="s">
        <v>40</v>
      </c>
      <c r="D415" s="1">
        <v>4</v>
      </c>
      <c r="E415" s="1">
        <f t="shared" si="7"/>
        <v>8</v>
      </c>
      <c r="F415" s="7">
        <v>1812500</v>
      </c>
      <c r="G415" s="5"/>
    </row>
    <row r="416" spans="1:7" ht="14.45">
      <c r="A416" s="1" t="s">
        <v>508</v>
      </c>
      <c r="B416" s="1" t="s">
        <v>15</v>
      </c>
      <c r="C416" s="1" t="s">
        <v>40</v>
      </c>
      <c r="D416" s="1">
        <v>9</v>
      </c>
      <c r="E416" s="1">
        <f t="shared" si="7"/>
        <v>18</v>
      </c>
      <c r="F416" s="7">
        <v>1800000</v>
      </c>
      <c r="G416" s="5"/>
    </row>
    <row r="417" spans="1:7" ht="14.45">
      <c r="A417" s="1" t="s">
        <v>509</v>
      </c>
      <c r="B417" s="1" t="s">
        <v>31</v>
      </c>
      <c r="C417" s="1" t="s">
        <v>40</v>
      </c>
      <c r="D417" s="1">
        <v>6</v>
      </c>
      <c r="E417" s="1">
        <f t="shared" si="7"/>
        <v>12</v>
      </c>
      <c r="F417" s="7">
        <v>1750000</v>
      </c>
      <c r="G417" s="5"/>
    </row>
    <row r="418" spans="1:7" ht="14.45">
      <c r="A418" s="1" t="s">
        <v>510</v>
      </c>
      <c r="B418" s="1" t="s">
        <v>19</v>
      </c>
      <c r="C418" s="1" t="s">
        <v>40</v>
      </c>
      <c r="D418" s="1">
        <v>7</v>
      </c>
      <c r="E418" s="1">
        <f t="shared" si="7"/>
        <v>14</v>
      </c>
      <c r="F418" s="7">
        <v>1750000</v>
      </c>
      <c r="G418" s="5"/>
    </row>
    <row r="419" spans="1:7" ht="14.45">
      <c r="A419" s="1" t="s">
        <v>511</v>
      </c>
      <c r="B419" s="1" t="s">
        <v>12</v>
      </c>
      <c r="C419" s="1" t="s">
        <v>39</v>
      </c>
      <c r="D419" s="1">
        <v>9</v>
      </c>
      <c r="E419" s="1">
        <f t="shared" si="7"/>
        <v>18</v>
      </c>
      <c r="F419" s="7">
        <v>1750000</v>
      </c>
      <c r="G419" s="5"/>
    </row>
    <row r="420" spans="1:7" ht="14.45">
      <c r="A420" s="1" t="s">
        <v>512</v>
      </c>
      <c r="B420" s="1" t="s">
        <v>10</v>
      </c>
      <c r="C420" s="1" t="s">
        <v>39</v>
      </c>
      <c r="D420" s="1">
        <v>6</v>
      </c>
      <c r="E420" s="1">
        <f t="shared" si="7"/>
        <v>12</v>
      </c>
      <c r="F420" s="7">
        <v>1750000</v>
      </c>
      <c r="G420" s="5"/>
    </row>
    <row r="421" spans="1:7" ht="14.45">
      <c r="A421" s="1" t="s">
        <v>513</v>
      </c>
      <c r="B421" s="1" t="s">
        <v>31</v>
      </c>
      <c r="C421" s="1" t="s">
        <v>40</v>
      </c>
      <c r="D421" s="1">
        <v>4</v>
      </c>
      <c r="E421" s="1">
        <f t="shared" si="7"/>
        <v>8</v>
      </c>
      <c r="F421" s="7">
        <v>1750000</v>
      </c>
      <c r="G421" s="5"/>
    </row>
    <row r="422" spans="1:7" ht="14.45">
      <c r="A422" s="1" t="s">
        <v>514</v>
      </c>
      <c r="B422" s="1" t="s">
        <v>26</v>
      </c>
      <c r="C422" s="1" t="s">
        <v>41</v>
      </c>
      <c r="D422" s="1">
        <v>6</v>
      </c>
      <c r="E422" s="1">
        <f t="shared" si="7"/>
        <v>12</v>
      </c>
      <c r="F422" s="7">
        <v>1700000</v>
      </c>
      <c r="G422" s="5"/>
    </row>
    <row r="423" spans="1:7" ht="14.45">
      <c r="A423" s="1" t="s">
        <v>515</v>
      </c>
      <c r="B423" s="1" t="s">
        <v>27</v>
      </c>
      <c r="C423" s="1" t="s">
        <v>40</v>
      </c>
      <c r="D423" s="1">
        <v>4</v>
      </c>
      <c r="E423" s="1">
        <f t="shared" si="7"/>
        <v>8</v>
      </c>
      <c r="F423" s="7">
        <v>1675000</v>
      </c>
      <c r="G423" s="5"/>
    </row>
    <row r="424" spans="1:7" ht="14.45">
      <c r="A424" s="1" t="s">
        <v>516</v>
      </c>
      <c r="B424" s="1" t="s">
        <v>5</v>
      </c>
      <c r="C424" s="1" t="s">
        <v>40</v>
      </c>
      <c r="D424" s="1">
        <v>6</v>
      </c>
      <c r="E424" s="1">
        <f t="shared" si="7"/>
        <v>12</v>
      </c>
      <c r="F424" s="7">
        <v>1640000</v>
      </c>
      <c r="G424" s="5"/>
    </row>
    <row r="425" spans="1:7" ht="14.45">
      <c r="A425" s="1" t="s">
        <v>517</v>
      </c>
      <c r="B425" s="1" t="s">
        <v>10</v>
      </c>
      <c r="C425" s="1" t="s">
        <v>36</v>
      </c>
      <c r="D425" s="1">
        <v>7</v>
      </c>
      <c r="E425" s="1">
        <f t="shared" si="7"/>
        <v>14</v>
      </c>
      <c r="F425" s="7">
        <v>1625000</v>
      </c>
      <c r="G425" s="5"/>
    </row>
    <row r="426" spans="1:7" ht="14.45">
      <c r="A426" s="1" t="s">
        <v>518</v>
      </c>
      <c r="B426" s="1" t="s">
        <v>2</v>
      </c>
      <c r="C426" s="1" t="s">
        <v>42</v>
      </c>
      <c r="D426" s="1">
        <v>8</v>
      </c>
      <c r="E426" s="1">
        <f t="shared" si="7"/>
        <v>16</v>
      </c>
      <c r="F426" s="7">
        <v>1600000</v>
      </c>
      <c r="G426" s="5"/>
    </row>
    <row r="427" spans="1:7" ht="14.45">
      <c r="A427" s="1" t="s">
        <v>519</v>
      </c>
      <c r="B427" s="1" t="s">
        <v>16</v>
      </c>
      <c r="C427" s="1" t="s">
        <v>39</v>
      </c>
      <c r="D427" s="1">
        <v>11</v>
      </c>
      <c r="E427" s="1">
        <v>14</v>
      </c>
      <c r="F427" s="7">
        <v>1600000</v>
      </c>
      <c r="G427" s="5"/>
    </row>
    <row r="428" spans="1:7" ht="14.45">
      <c r="A428" s="1" t="s">
        <v>520</v>
      </c>
      <c r="B428" s="1" t="s">
        <v>20</v>
      </c>
      <c r="C428" s="1" t="s">
        <v>40</v>
      </c>
      <c r="D428" s="1">
        <v>7</v>
      </c>
      <c r="E428" s="1">
        <f t="shared" ref="E428:E459" si="8">D428*2</f>
        <v>14</v>
      </c>
      <c r="F428" s="7">
        <v>1600000</v>
      </c>
      <c r="G428" s="5"/>
    </row>
    <row r="429" spans="1:7" ht="14.45">
      <c r="A429" s="1" t="s">
        <v>521</v>
      </c>
      <c r="B429" s="1" t="s">
        <v>27</v>
      </c>
      <c r="C429" s="1" t="s">
        <v>40</v>
      </c>
      <c r="D429" s="1">
        <v>6</v>
      </c>
      <c r="E429" s="1">
        <f t="shared" si="8"/>
        <v>12</v>
      </c>
      <c r="F429" s="7">
        <v>1550000</v>
      </c>
      <c r="G429" s="5"/>
    </row>
    <row r="430" spans="1:7" ht="14.45">
      <c r="A430" s="1" t="s">
        <v>522</v>
      </c>
      <c r="B430" s="1" t="s">
        <v>23</v>
      </c>
      <c r="C430" s="1" t="s">
        <v>39</v>
      </c>
      <c r="D430" s="1">
        <v>5</v>
      </c>
      <c r="E430" s="1">
        <f t="shared" si="8"/>
        <v>10</v>
      </c>
      <c r="F430" s="7">
        <v>1500000</v>
      </c>
      <c r="G430" s="5"/>
    </row>
    <row r="431" spans="1:7" ht="14.45">
      <c r="A431" s="1" t="s">
        <v>523</v>
      </c>
      <c r="B431" s="1" t="s">
        <v>29</v>
      </c>
      <c r="C431" s="1" t="s">
        <v>42</v>
      </c>
      <c r="D431" s="1">
        <v>4</v>
      </c>
      <c r="E431" s="1">
        <f t="shared" si="8"/>
        <v>8</v>
      </c>
      <c r="F431" s="7">
        <v>1500000</v>
      </c>
      <c r="G431" s="5"/>
    </row>
    <row r="432" spans="1:7" ht="14.45">
      <c r="A432" s="1" t="s">
        <v>524</v>
      </c>
      <c r="B432" s="1" t="s">
        <v>9</v>
      </c>
      <c r="C432" s="1" t="s">
        <v>41</v>
      </c>
      <c r="D432" s="1">
        <v>2</v>
      </c>
      <c r="E432" s="1">
        <f t="shared" si="8"/>
        <v>4</v>
      </c>
      <c r="F432" s="7">
        <v>1500000</v>
      </c>
      <c r="G432" s="5"/>
    </row>
    <row r="433" spans="1:7" ht="14.45">
      <c r="A433" s="1" t="s">
        <v>525</v>
      </c>
      <c r="B433" s="1" t="s">
        <v>27</v>
      </c>
      <c r="C433" s="1" t="s">
        <v>40</v>
      </c>
      <c r="D433" s="1">
        <v>3</v>
      </c>
      <c r="E433" s="1">
        <f t="shared" si="8"/>
        <v>6</v>
      </c>
      <c r="F433" s="7">
        <v>1500000</v>
      </c>
      <c r="G433" s="5"/>
    </row>
    <row r="434" spans="1:7" ht="14.45">
      <c r="A434" s="1" t="s">
        <v>526</v>
      </c>
      <c r="B434" s="1" t="s">
        <v>2</v>
      </c>
      <c r="C434" s="1" t="s">
        <v>40</v>
      </c>
      <c r="D434" s="1">
        <v>4</v>
      </c>
      <c r="E434" s="1">
        <f t="shared" si="8"/>
        <v>8</v>
      </c>
      <c r="F434" s="7">
        <v>1500000</v>
      </c>
      <c r="G434" s="5"/>
    </row>
    <row r="435" spans="1:7" ht="14.45">
      <c r="A435" s="1" t="s">
        <v>527</v>
      </c>
      <c r="B435" s="1" t="s">
        <v>32</v>
      </c>
      <c r="C435" s="1" t="s">
        <v>40</v>
      </c>
      <c r="D435" s="1">
        <v>9</v>
      </c>
      <c r="E435" s="1">
        <f t="shared" si="8"/>
        <v>18</v>
      </c>
      <c r="F435" s="7">
        <v>1500000</v>
      </c>
      <c r="G435" s="5"/>
    </row>
    <row r="436" spans="1:7" ht="14.45">
      <c r="A436" s="1" t="s">
        <v>528</v>
      </c>
      <c r="B436" s="1" t="s">
        <v>10</v>
      </c>
      <c r="C436" s="1" t="s">
        <v>40</v>
      </c>
      <c r="D436" s="1">
        <v>6</v>
      </c>
      <c r="E436" s="1">
        <f t="shared" si="8"/>
        <v>12</v>
      </c>
      <c r="F436" s="7">
        <v>1500000</v>
      </c>
      <c r="G436" s="5"/>
    </row>
    <row r="437" spans="1:7" ht="14.45">
      <c r="A437" s="1" t="s">
        <v>529</v>
      </c>
      <c r="B437" s="1" t="s">
        <v>16</v>
      </c>
      <c r="C437" s="1" t="s">
        <v>40</v>
      </c>
      <c r="D437" s="1">
        <v>3</v>
      </c>
      <c r="E437" s="1">
        <f t="shared" si="8"/>
        <v>6</v>
      </c>
      <c r="F437" s="7">
        <v>1500000</v>
      </c>
      <c r="G437" s="5"/>
    </row>
    <row r="438" spans="1:7" ht="14.45">
      <c r="A438" s="1" t="s">
        <v>530</v>
      </c>
      <c r="B438" s="1" t="s">
        <v>32</v>
      </c>
      <c r="C438" s="1" t="s">
        <v>40</v>
      </c>
      <c r="D438" s="1">
        <v>4</v>
      </c>
      <c r="E438" s="1">
        <f t="shared" si="8"/>
        <v>8</v>
      </c>
      <c r="F438" s="7">
        <v>1500000</v>
      </c>
      <c r="G438" s="5"/>
    </row>
    <row r="439" spans="1:7" ht="14.45">
      <c r="A439" s="1" t="s">
        <v>531</v>
      </c>
      <c r="B439" s="1" t="s">
        <v>15</v>
      </c>
      <c r="C439" s="1" t="s">
        <v>40</v>
      </c>
      <c r="D439" s="1">
        <v>8</v>
      </c>
      <c r="E439" s="1">
        <f t="shared" si="8"/>
        <v>16</v>
      </c>
      <c r="F439" s="7">
        <v>1450000</v>
      </c>
      <c r="G439" s="5"/>
    </row>
    <row r="440" spans="1:7" ht="14.45">
      <c r="A440" s="1" t="s">
        <v>532</v>
      </c>
      <c r="B440" s="1" t="s">
        <v>6</v>
      </c>
      <c r="C440" s="1" t="s">
        <v>36</v>
      </c>
      <c r="D440" s="1">
        <v>8</v>
      </c>
      <c r="E440" s="1">
        <f t="shared" si="8"/>
        <v>16</v>
      </c>
      <c r="F440" s="7">
        <v>1450000</v>
      </c>
      <c r="G440" s="5"/>
    </row>
    <row r="441" spans="1:7" ht="14.45">
      <c r="A441" s="1" t="s">
        <v>533</v>
      </c>
      <c r="B441" s="1" t="s">
        <v>32</v>
      </c>
      <c r="C441" s="1" t="s">
        <v>41</v>
      </c>
      <c r="D441" s="1">
        <v>3</v>
      </c>
      <c r="E441" s="1">
        <f t="shared" si="8"/>
        <v>6</v>
      </c>
      <c r="F441" s="7">
        <v>1450000</v>
      </c>
      <c r="G441" s="5"/>
    </row>
    <row r="442" spans="1:7" ht="14.45">
      <c r="A442" s="1" t="s">
        <v>534</v>
      </c>
      <c r="B442" s="1" t="s">
        <v>14</v>
      </c>
      <c r="C442" s="1" t="s">
        <v>40</v>
      </c>
      <c r="D442" s="1">
        <v>4</v>
      </c>
      <c r="E442" s="1">
        <f t="shared" si="8"/>
        <v>8</v>
      </c>
      <c r="F442" s="7">
        <v>1375000</v>
      </c>
      <c r="G442" s="5"/>
    </row>
    <row r="443" spans="1:7" ht="14.45">
      <c r="A443" s="1" t="s">
        <v>535</v>
      </c>
      <c r="B443" s="1" t="s">
        <v>9</v>
      </c>
      <c r="C443" s="1" t="s">
        <v>40</v>
      </c>
      <c r="D443" s="1">
        <v>8</v>
      </c>
      <c r="E443" s="1">
        <f t="shared" si="8"/>
        <v>16</v>
      </c>
      <c r="F443" s="7">
        <v>1312500</v>
      </c>
      <c r="G443" s="5"/>
    </row>
    <row r="444" spans="1:7" ht="14.45">
      <c r="A444" s="1" t="s">
        <v>536</v>
      </c>
      <c r="B444" s="1" t="s">
        <v>22</v>
      </c>
      <c r="C444" s="1" t="s">
        <v>40</v>
      </c>
      <c r="D444" s="1">
        <v>7</v>
      </c>
      <c r="E444" s="1">
        <f t="shared" si="8"/>
        <v>14</v>
      </c>
      <c r="F444" s="7">
        <v>1312500</v>
      </c>
      <c r="G444" s="5"/>
    </row>
    <row r="445" spans="1:7" ht="14.45">
      <c r="A445" s="1" t="s">
        <v>537</v>
      </c>
      <c r="B445" s="1" t="s">
        <v>33</v>
      </c>
      <c r="C445" s="1" t="s">
        <v>36</v>
      </c>
      <c r="D445" s="1">
        <v>5</v>
      </c>
      <c r="E445" s="1">
        <f t="shared" si="8"/>
        <v>10</v>
      </c>
      <c r="F445" s="7">
        <v>1300000</v>
      </c>
      <c r="G445" s="5"/>
    </row>
    <row r="446" spans="1:7" ht="14.45">
      <c r="A446" s="1" t="s">
        <v>538</v>
      </c>
      <c r="B446" s="1" t="s">
        <v>11</v>
      </c>
      <c r="C446" s="1" t="s">
        <v>40</v>
      </c>
      <c r="D446" s="1">
        <v>4</v>
      </c>
      <c r="E446" s="1">
        <f t="shared" si="8"/>
        <v>8</v>
      </c>
      <c r="F446" s="7">
        <v>1287500</v>
      </c>
      <c r="G446" s="5"/>
    </row>
    <row r="447" spans="1:7" ht="14.45">
      <c r="A447" s="1" t="s">
        <v>539</v>
      </c>
      <c r="B447" s="1" t="s">
        <v>2</v>
      </c>
      <c r="C447" s="1" t="s">
        <v>42</v>
      </c>
      <c r="D447" s="1">
        <v>3</v>
      </c>
      <c r="E447" s="1">
        <f t="shared" si="8"/>
        <v>6</v>
      </c>
      <c r="F447" s="7">
        <v>1275000</v>
      </c>
      <c r="G447" s="5"/>
    </row>
    <row r="448" spans="1:7" ht="14.45">
      <c r="A448" s="1" t="s">
        <v>540</v>
      </c>
      <c r="B448" s="1" t="s">
        <v>26</v>
      </c>
      <c r="C448" s="1" t="s">
        <v>36</v>
      </c>
      <c r="D448" s="1">
        <v>3</v>
      </c>
      <c r="E448" s="1">
        <f t="shared" si="8"/>
        <v>6</v>
      </c>
      <c r="F448" s="7">
        <v>1250000</v>
      </c>
      <c r="G448" s="5"/>
    </row>
    <row r="449" spans="1:7" ht="14.45">
      <c r="A449" s="1" t="s">
        <v>541</v>
      </c>
      <c r="B449" s="1" t="s">
        <v>5</v>
      </c>
      <c r="C449" s="1" t="s">
        <v>36</v>
      </c>
      <c r="D449" s="1">
        <v>2</v>
      </c>
      <c r="E449" s="1">
        <f t="shared" si="8"/>
        <v>4</v>
      </c>
      <c r="F449" s="7">
        <v>1250000</v>
      </c>
      <c r="G449" s="5"/>
    </row>
    <row r="450" spans="1:7" ht="14.45">
      <c r="A450" s="1" t="s">
        <v>542</v>
      </c>
      <c r="B450" s="1" t="s">
        <v>14</v>
      </c>
      <c r="C450" s="1" t="s">
        <v>40</v>
      </c>
      <c r="D450" s="1">
        <v>5</v>
      </c>
      <c r="E450" s="1">
        <f t="shared" si="8"/>
        <v>10</v>
      </c>
      <c r="F450" s="7">
        <v>1250000</v>
      </c>
      <c r="G450" s="5"/>
    </row>
    <row r="451" spans="1:7" ht="14.45">
      <c r="A451" s="1" t="s">
        <v>543</v>
      </c>
      <c r="B451" s="1" t="s">
        <v>31</v>
      </c>
      <c r="C451" s="1" t="s">
        <v>40</v>
      </c>
      <c r="D451" s="1">
        <v>7</v>
      </c>
      <c r="E451" s="1">
        <f t="shared" si="8"/>
        <v>14</v>
      </c>
      <c r="F451" s="7">
        <v>1250000</v>
      </c>
      <c r="G451" s="5"/>
    </row>
    <row r="452" spans="1:7" ht="14.45">
      <c r="A452" s="1" t="s">
        <v>544</v>
      </c>
      <c r="B452" s="1" t="s">
        <v>9</v>
      </c>
      <c r="C452" s="1" t="s">
        <v>41</v>
      </c>
      <c r="D452" s="1">
        <v>3</v>
      </c>
      <c r="E452" s="1">
        <f t="shared" si="8"/>
        <v>6</v>
      </c>
      <c r="F452" s="7">
        <v>1250000</v>
      </c>
      <c r="G452" s="5"/>
    </row>
    <row r="453" spans="1:7" ht="14.45">
      <c r="A453" s="1" t="s">
        <v>545</v>
      </c>
      <c r="B453" s="1" t="s">
        <v>5</v>
      </c>
      <c r="C453" s="1" t="s">
        <v>38</v>
      </c>
      <c r="D453" s="1">
        <v>7</v>
      </c>
      <c r="E453" s="1">
        <f t="shared" si="8"/>
        <v>14</v>
      </c>
      <c r="F453" s="7">
        <v>1200000</v>
      </c>
      <c r="G453" s="5"/>
    </row>
    <row r="454" spans="1:7" ht="14.45">
      <c r="A454" s="1" t="s">
        <v>546</v>
      </c>
      <c r="B454" s="1" t="s">
        <v>31</v>
      </c>
      <c r="C454" s="1" t="s">
        <v>40</v>
      </c>
      <c r="D454" s="1">
        <v>7</v>
      </c>
      <c r="E454" s="1">
        <f t="shared" si="8"/>
        <v>14</v>
      </c>
      <c r="F454" s="7">
        <v>1200000</v>
      </c>
      <c r="G454" s="5"/>
    </row>
    <row r="455" spans="1:7" ht="14.45">
      <c r="A455" s="1" t="s">
        <v>547</v>
      </c>
      <c r="B455" s="1" t="s">
        <v>24</v>
      </c>
      <c r="C455" s="1" t="s">
        <v>40</v>
      </c>
      <c r="D455" s="1">
        <v>8</v>
      </c>
      <c r="E455" s="1">
        <f t="shared" si="8"/>
        <v>16</v>
      </c>
      <c r="F455" s="7">
        <v>1200000</v>
      </c>
      <c r="G455" s="5"/>
    </row>
    <row r="456" spans="1:7" ht="14.45">
      <c r="A456" s="1" t="s">
        <v>548</v>
      </c>
      <c r="B456" s="1" t="s">
        <v>29</v>
      </c>
      <c r="C456" s="1" t="s">
        <v>40</v>
      </c>
      <c r="D456" s="1">
        <v>4</v>
      </c>
      <c r="E456" s="1">
        <f t="shared" si="8"/>
        <v>8</v>
      </c>
      <c r="F456" s="7">
        <v>1200000</v>
      </c>
      <c r="G456" s="5"/>
    </row>
    <row r="457" spans="1:7" ht="14.45">
      <c r="A457" s="1" t="s">
        <v>549</v>
      </c>
      <c r="B457" s="1" t="s">
        <v>2</v>
      </c>
      <c r="C457" s="1" t="s">
        <v>40</v>
      </c>
      <c r="D457" s="1">
        <v>5</v>
      </c>
      <c r="E457" s="1">
        <f t="shared" si="8"/>
        <v>10</v>
      </c>
      <c r="F457" s="7">
        <v>1195000</v>
      </c>
      <c r="G457" s="5"/>
    </row>
    <row r="458" spans="1:7" ht="14.45">
      <c r="A458" s="1" t="s">
        <v>550</v>
      </c>
      <c r="B458" s="1" t="s">
        <v>18</v>
      </c>
      <c r="C458" s="1" t="s">
        <v>42</v>
      </c>
      <c r="D458" s="1">
        <v>6</v>
      </c>
      <c r="E458" s="1">
        <f t="shared" si="8"/>
        <v>12</v>
      </c>
      <c r="F458" s="7">
        <v>1180000</v>
      </c>
      <c r="G458" s="5"/>
    </row>
    <row r="459" spans="1:7" ht="14.45">
      <c r="A459" s="1" t="s">
        <v>551</v>
      </c>
      <c r="B459" s="1" t="s">
        <v>8</v>
      </c>
      <c r="C459" s="1" t="s">
        <v>39</v>
      </c>
      <c r="D459" s="1">
        <v>2</v>
      </c>
      <c r="E459" s="1">
        <f t="shared" si="8"/>
        <v>4</v>
      </c>
      <c r="F459" s="7">
        <v>1175000</v>
      </c>
      <c r="G459" s="5"/>
    </row>
    <row r="460" spans="1:7" ht="14.45">
      <c r="A460" s="1" t="s">
        <v>552</v>
      </c>
      <c r="B460" s="1" t="s">
        <v>24</v>
      </c>
      <c r="C460" s="1" t="s">
        <v>41</v>
      </c>
      <c r="D460" s="1">
        <v>4</v>
      </c>
      <c r="E460" s="1">
        <f t="shared" ref="E460:E491" si="9">D460*2</f>
        <v>8</v>
      </c>
      <c r="F460" s="7">
        <v>1166666</v>
      </c>
      <c r="G460" s="5"/>
    </row>
    <row r="461" spans="1:7" ht="14.45">
      <c r="A461" s="1" t="s">
        <v>553</v>
      </c>
      <c r="B461" s="1" t="s">
        <v>10</v>
      </c>
      <c r="C461" s="1" t="s">
        <v>40</v>
      </c>
      <c r="D461" s="1">
        <v>5</v>
      </c>
      <c r="E461" s="1">
        <f t="shared" si="9"/>
        <v>10</v>
      </c>
      <c r="F461" s="7">
        <v>1150000</v>
      </c>
      <c r="G461" s="5"/>
    </row>
    <row r="462" spans="1:7" ht="14.45">
      <c r="A462" s="1" t="s">
        <v>554</v>
      </c>
      <c r="B462" s="1" t="s">
        <v>18</v>
      </c>
      <c r="C462" s="1" t="s">
        <v>40</v>
      </c>
      <c r="D462" s="1">
        <v>6</v>
      </c>
      <c r="E462" s="1">
        <f t="shared" si="9"/>
        <v>12</v>
      </c>
      <c r="F462" s="7">
        <v>1113000</v>
      </c>
      <c r="G462" s="5"/>
    </row>
    <row r="463" spans="1:7" ht="14.45">
      <c r="A463" s="1" t="s">
        <v>555</v>
      </c>
      <c r="B463" s="1" t="s">
        <v>22</v>
      </c>
      <c r="C463" s="1" t="s">
        <v>36</v>
      </c>
      <c r="D463" s="1">
        <v>2</v>
      </c>
      <c r="E463" s="1">
        <f t="shared" si="9"/>
        <v>4</v>
      </c>
      <c r="F463" s="7">
        <v>1100000</v>
      </c>
      <c r="G463" s="5"/>
    </row>
    <row r="464" spans="1:7" ht="14.45">
      <c r="A464" s="1" t="s">
        <v>556</v>
      </c>
      <c r="B464" s="1" t="s">
        <v>15</v>
      </c>
      <c r="C464" s="1" t="s">
        <v>40</v>
      </c>
      <c r="D464" s="1">
        <v>1</v>
      </c>
      <c r="E464" s="1">
        <f t="shared" si="9"/>
        <v>2</v>
      </c>
      <c r="F464" s="7">
        <v>1100000</v>
      </c>
      <c r="G464" s="5"/>
    </row>
    <row r="465" spans="1:7" ht="14.45">
      <c r="A465" s="1" t="s">
        <v>557</v>
      </c>
      <c r="B465" s="1" t="s">
        <v>3</v>
      </c>
      <c r="C465" s="1" t="s">
        <v>40</v>
      </c>
      <c r="D465" s="1">
        <v>8</v>
      </c>
      <c r="E465" s="1">
        <f t="shared" si="9"/>
        <v>16</v>
      </c>
      <c r="F465" s="7">
        <v>1100000</v>
      </c>
      <c r="G465" s="5"/>
    </row>
    <row r="466" spans="1:7" ht="14.45">
      <c r="A466" s="1" t="s">
        <v>558</v>
      </c>
      <c r="B466" s="1" t="s">
        <v>6</v>
      </c>
      <c r="C466" s="1" t="s">
        <v>40</v>
      </c>
      <c r="D466" s="1">
        <v>2</v>
      </c>
      <c r="E466" s="1">
        <f t="shared" si="9"/>
        <v>4</v>
      </c>
      <c r="F466" s="7">
        <v>1100000</v>
      </c>
      <c r="G466" s="5"/>
    </row>
    <row r="467" spans="1:7" ht="14.45">
      <c r="A467" s="1" t="s">
        <v>559</v>
      </c>
      <c r="B467" s="1" t="s">
        <v>18</v>
      </c>
      <c r="C467" s="1" t="s">
        <v>39</v>
      </c>
      <c r="D467" s="1">
        <v>5</v>
      </c>
      <c r="E467" s="1">
        <f t="shared" si="9"/>
        <v>10</v>
      </c>
      <c r="F467" s="7">
        <v>1090000</v>
      </c>
      <c r="G467" s="5"/>
    </row>
    <row r="468" spans="1:7" ht="14.45">
      <c r="A468" s="1" t="s">
        <v>560</v>
      </c>
      <c r="B468" s="1" t="s">
        <v>18</v>
      </c>
      <c r="C468" s="1" t="s">
        <v>40</v>
      </c>
      <c r="D468" s="1">
        <v>2</v>
      </c>
      <c r="E468" s="1">
        <f t="shared" si="9"/>
        <v>4</v>
      </c>
      <c r="F468" s="7">
        <v>1090000</v>
      </c>
      <c r="G468" s="5"/>
    </row>
    <row r="469" spans="1:7" ht="14.45">
      <c r="A469" s="1" t="s">
        <v>561</v>
      </c>
      <c r="B469" s="1" t="s">
        <v>18</v>
      </c>
      <c r="C469" s="1" t="s">
        <v>40</v>
      </c>
      <c r="D469" s="1">
        <v>8</v>
      </c>
      <c r="E469" s="1">
        <f t="shared" si="9"/>
        <v>16</v>
      </c>
      <c r="F469" s="7">
        <v>1090000</v>
      </c>
      <c r="G469" s="5"/>
    </row>
    <row r="470" spans="1:7" ht="14.45">
      <c r="A470" s="1" t="s">
        <v>562</v>
      </c>
      <c r="B470" s="1" t="s">
        <v>18</v>
      </c>
      <c r="C470" s="1" t="s">
        <v>40</v>
      </c>
      <c r="D470" s="1">
        <v>5</v>
      </c>
      <c r="E470" s="1">
        <f t="shared" si="9"/>
        <v>10</v>
      </c>
      <c r="F470" s="7">
        <v>1090000</v>
      </c>
      <c r="G470" s="5"/>
    </row>
    <row r="471" spans="1:7" ht="14.45">
      <c r="A471" s="1" t="s">
        <v>563</v>
      </c>
      <c r="B471" s="1" t="s">
        <v>18</v>
      </c>
      <c r="C471" s="1" t="s">
        <v>40</v>
      </c>
      <c r="D471" s="1">
        <v>2</v>
      </c>
      <c r="E471" s="1">
        <f t="shared" si="9"/>
        <v>4</v>
      </c>
      <c r="F471" s="7">
        <v>1090000</v>
      </c>
      <c r="G471" s="5"/>
    </row>
    <row r="472" spans="1:7" ht="14.45">
      <c r="A472" s="1" t="s">
        <v>564</v>
      </c>
      <c r="B472" s="1" t="s">
        <v>18</v>
      </c>
      <c r="C472" s="1" t="s">
        <v>40</v>
      </c>
      <c r="D472" s="1">
        <v>2</v>
      </c>
      <c r="E472" s="1">
        <f t="shared" si="9"/>
        <v>4</v>
      </c>
      <c r="F472" s="7">
        <v>1090000</v>
      </c>
      <c r="G472" s="5"/>
    </row>
    <row r="473" spans="1:7" ht="14.45">
      <c r="A473" s="1" t="s">
        <v>565</v>
      </c>
      <c r="B473" s="1" t="s">
        <v>18</v>
      </c>
      <c r="C473" s="1" t="s">
        <v>40</v>
      </c>
      <c r="D473" s="1">
        <v>2</v>
      </c>
      <c r="E473" s="1">
        <f t="shared" si="9"/>
        <v>4</v>
      </c>
      <c r="F473" s="7">
        <v>1090000</v>
      </c>
      <c r="G473" s="5"/>
    </row>
    <row r="474" spans="1:7" ht="14.45">
      <c r="A474" s="1" t="s">
        <v>566</v>
      </c>
      <c r="B474" s="1" t="s">
        <v>18</v>
      </c>
      <c r="C474" s="1" t="s">
        <v>40</v>
      </c>
      <c r="D474" s="1">
        <v>5</v>
      </c>
      <c r="E474" s="1">
        <f t="shared" si="9"/>
        <v>10</v>
      </c>
      <c r="F474" s="7">
        <v>1090000</v>
      </c>
      <c r="G474" s="5"/>
    </row>
    <row r="475" spans="1:7" ht="14.45">
      <c r="A475" s="1" t="s">
        <v>567</v>
      </c>
      <c r="B475" s="1" t="s">
        <v>3</v>
      </c>
      <c r="C475" s="1" t="s">
        <v>40</v>
      </c>
      <c r="D475" s="1">
        <v>6</v>
      </c>
      <c r="E475" s="1">
        <f t="shared" si="9"/>
        <v>12</v>
      </c>
      <c r="F475" s="7">
        <v>1075000</v>
      </c>
      <c r="G475" s="5"/>
    </row>
    <row r="476" spans="1:7" ht="14.45">
      <c r="A476" s="1" t="s">
        <v>568</v>
      </c>
      <c r="B476" s="1" t="s">
        <v>26</v>
      </c>
      <c r="C476" s="1" t="s">
        <v>40</v>
      </c>
      <c r="D476" s="1">
        <v>8</v>
      </c>
      <c r="E476" s="1">
        <f t="shared" si="9"/>
        <v>16</v>
      </c>
      <c r="F476" s="7">
        <v>1062500</v>
      </c>
      <c r="G476" s="5"/>
    </row>
    <row r="477" spans="1:7" ht="14.45">
      <c r="A477" s="1" t="s">
        <v>569</v>
      </c>
      <c r="B477" s="1" t="s">
        <v>28</v>
      </c>
      <c r="C477" s="1" t="s">
        <v>42</v>
      </c>
      <c r="D477" s="1">
        <v>4</v>
      </c>
      <c r="E477" s="1">
        <f t="shared" si="9"/>
        <v>8</v>
      </c>
      <c r="F477" s="7">
        <v>1050000</v>
      </c>
      <c r="G477" s="5"/>
    </row>
    <row r="478" spans="1:7" ht="14.45">
      <c r="A478" s="1" t="s">
        <v>570</v>
      </c>
      <c r="B478" s="1" t="s">
        <v>8</v>
      </c>
      <c r="C478" s="1" t="s">
        <v>40</v>
      </c>
      <c r="D478" s="1">
        <v>5</v>
      </c>
      <c r="E478" s="1">
        <f t="shared" si="9"/>
        <v>10</v>
      </c>
      <c r="F478" s="7">
        <v>1050000</v>
      </c>
      <c r="G478" s="5"/>
    </row>
    <row r="479" spans="1:7" ht="14.45">
      <c r="A479" s="1" t="s">
        <v>571</v>
      </c>
      <c r="B479" s="1" t="s">
        <v>15</v>
      </c>
      <c r="C479" s="1" t="s">
        <v>40</v>
      </c>
      <c r="D479" s="1">
        <v>4</v>
      </c>
      <c r="E479" s="1">
        <f t="shared" si="9"/>
        <v>8</v>
      </c>
      <c r="F479" s="7">
        <v>1050000</v>
      </c>
      <c r="G479" s="5"/>
    </row>
    <row r="480" spans="1:7" ht="14.45">
      <c r="A480" s="1" t="s">
        <v>572</v>
      </c>
      <c r="B480" s="1" t="s">
        <v>31</v>
      </c>
      <c r="C480" s="1" t="s">
        <v>41</v>
      </c>
      <c r="D480" s="1">
        <v>3</v>
      </c>
      <c r="E480" s="1">
        <f t="shared" si="9"/>
        <v>6</v>
      </c>
      <c r="F480" s="7">
        <v>1050000</v>
      </c>
      <c r="G480" s="5"/>
    </row>
    <row r="481" spans="1:7" ht="14.45">
      <c r="A481" s="1" t="s">
        <v>573</v>
      </c>
      <c r="B481" s="1" t="s">
        <v>8</v>
      </c>
      <c r="C481" s="1" t="s">
        <v>42</v>
      </c>
      <c r="D481" s="1">
        <v>3</v>
      </c>
      <c r="E481" s="1">
        <f t="shared" si="9"/>
        <v>6</v>
      </c>
      <c r="F481" s="7">
        <v>1000000</v>
      </c>
      <c r="G481" s="5"/>
    </row>
    <row r="482" spans="1:7" ht="14.45">
      <c r="A482" s="1" t="s">
        <v>574</v>
      </c>
      <c r="B482" s="1" t="s">
        <v>16</v>
      </c>
      <c r="C482" s="1" t="s">
        <v>41</v>
      </c>
      <c r="D482" s="1">
        <v>1</v>
      </c>
      <c r="E482" s="1">
        <f t="shared" si="9"/>
        <v>2</v>
      </c>
      <c r="F482" s="7">
        <v>1000000</v>
      </c>
      <c r="G482" s="5"/>
    </row>
    <row r="483" spans="1:7" ht="14.45">
      <c r="A483" s="1" t="s">
        <v>575</v>
      </c>
      <c r="B483" s="1" t="s">
        <v>14</v>
      </c>
      <c r="C483" s="1" t="s">
        <v>40</v>
      </c>
      <c r="D483" s="1">
        <v>2</v>
      </c>
      <c r="E483" s="1">
        <f t="shared" si="9"/>
        <v>4</v>
      </c>
      <c r="F483" s="7">
        <v>1000000</v>
      </c>
      <c r="G483" s="5"/>
    </row>
    <row r="484" spans="1:7" ht="14.45">
      <c r="A484" s="1" t="s">
        <v>576</v>
      </c>
      <c r="B484" s="1" t="s">
        <v>18</v>
      </c>
      <c r="C484" s="1" t="s">
        <v>36</v>
      </c>
      <c r="D484" s="1">
        <v>1</v>
      </c>
      <c r="E484" s="1">
        <f t="shared" si="9"/>
        <v>2</v>
      </c>
      <c r="F484" s="7">
        <v>1000000</v>
      </c>
      <c r="G484" s="5"/>
    </row>
    <row r="485" spans="1:7" ht="14.45">
      <c r="A485" s="1" t="s">
        <v>577</v>
      </c>
      <c r="B485" s="1" t="s">
        <v>13</v>
      </c>
      <c r="C485" s="1" t="s">
        <v>42</v>
      </c>
      <c r="D485" s="1">
        <v>3</v>
      </c>
      <c r="E485" s="1">
        <f t="shared" si="9"/>
        <v>6</v>
      </c>
      <c r="F485" s="7">
        <v>1000000</v>
      </c>
      <c r="G485" s="5"/>
    </row>
    <row r="486" spans="1:7" ht="14.45">
      <c r="A486" s="1" t="s">
        <v>578</v>
      </c>
      <c r="B486" s="1" t="s">
        <v>20</v>
      </c>
      <c r="C486" s="1" t="s">
        <v>42</v>
      </c>
      <c r="D486" s="1">
        <v>4</v>
      </c>
      <c r="E486" s="1">
        <f t="shared" si="9"/>
        <v>8</v>
      </c>
      <c r="F486" s="7">
        <v>1000000</v>
      </c>
      <c r="G486" s="5"/>
    </row>
    <row r="487" spans="1:7" ht="14.45">
      <c r="A487" s="1" t="s">
        <v>579</v>
      </c>
      <c r="B487" s="1" t="s">
        <v>27</v>
      </c>
      <c r="C487" s="1" t="s">
        <v>39</v>
      </c>
      <c r="D487" s="1">
        <v>2</v>
      </c>
      <c r="E487" s="1">
        <f t="shared" si="9"/>
        <v>4</v>
      </c>
      <c r="F487" s="7">
        <v>1000000</v>
      </c>
      <c r="G487" s="5"/>
    </row>
    <row r="488" spans="1:7" ht="14.45">
      <c r="A488" s="1" t="s">
        <v>580</v>
      </c>
      <c r="B488" s="1" t="s">
        <v>31</v>
      </c>
      <c r="C488" s="1" t="s">
        <v>40</v>
      </c>
      <c r="D488" s="1">
        <v>2</v>
      </c>
      <c r="E488" s="1">
        <f t="shared" si="9"/>
        <v>4</v>
      </c>
      <c r="F488" s="7">
        <v>1000000</v>
      </c>
      <c r="G488" s="5"/>
    </row>
    <row r="489" spans="1:7" ht="14.45">
      <c r="A489" s="1" t="s">
        <v>581</v>
      </c>
      <c r="B489" s="1" t="s">
        <v>33</v>
      </c>
      <c r="C489" s="1" t="s">
        <v>40</v>
      </c>
      <c r="D489" s="1">
        <v>4</v>
      </c>
      <c r="E489" s="1">
        <f t="shared" si="9"/>
        <v>8</v>
      </c>
      <c r="F489" s="7">
        <v>1000000</v>
      </c>
      <c r="G489" s="5"/>
    </row>
    <row r="490" spans="1:7" ht="14.45">
      <c r="A490" s="1" t="s">
        <v>582</v>
      </c>
      <c r="B490" s="1" t="s">
        <v>26</v>
      </c>
      <c r="C490" s="1" t="s">
        <v>40</v>
      </c>
      <c r="D490" s="1">
        <v>2</v>
      </c>
      <c r="E490" s="1">
        <f t="shared" si="9"/>
        <v>4</v>
      </c>
      <c r="F490" s="7">
        <v>1000000</v>
      </c>
      <c r="G490" s="5"/>
    </row>
    <row r="491" spans="1:7" ht="14.45">
      <c r="A491" s="1" t="s">
        <v>583</v>
      </c>
      <c r="B491" s="1" t="s">
        <v>5</v>
      </c>
      <c r="C491" s="1" t="s">
        <v>38</v>
      </c>
      <c r="D491" s="1">
        <v>3</v>
      </c>
      <c r="E491" s="1">
        <f t="shared" si="9"/>
        <v>6</v>
      </c>
      <c r="F491" s="7">
        <v>1000000</v>
      </c>
      <c r="G491" s="5"/>
    </row>
    <row r="492" spans="1:7" ht="14.45">
      <c r="A492" s="1" t="s">
        <v>584</v>
      </c>
      <c r="B492" s="1" t="s">
        <v>3</v>
      </c>
      <c r="C492" s="1" t="s">
        <v>39</v>
      </c>
      <c r="D492" s="1">
        <v>3</v>
      </c>
      <c r="E492" s="1">
        <f t="shared" ref="E492:E511" si="10">D492*2</f>
        <v>6</v>
      </c>
      <c r="F492" s="7">
        <v>1000000</v>
      </c>
      <c r="G492" s="5"/>
    </row>
    <row r="493" spans="1:7" ht="14.45">
      <c r="A493" s="1" t="s">
        <v>585</v>
      </c>
      <c r="B493" s="1" t="s">
        <v>14</v>
      </c>
      <c r="C493" s="1" t="s">
        <v>42</v>
      </c>
      <c r="D493" s="1">
        <v>4</v>
      </c>
      <c r="E493" s="1">
        <f t="shared" si="10"/>
        <v>8</v>
      </c>
      <c r="F493" s="7">
        <v>1000000</v>
      </c>
      <c r="G493" s="5"/>
    </row>
    <row r="494" spans="1:7" ht="14.45">
      <c r="A494" s="1" t="s">
        <v>586</v>
      </c>
      <c r="B494" s="1" t="s">
        <v>31</v>
      </c>
      <c r="C494" s="1" t="s">
        <v>40</v>
      </c>
      <c r="D494" s="1">
        <v>6</v>
      </c>
      <c r="E494" s="1">
        <f t="shared" si="10"/>
        <v>12</v>
      </c>
      <c r="F494" s="7">
        <v>1000000</v>
      </c>
      <c r="G494" s="5"/>
    </row>
    <row r="495" spans="1:7" ht="14.45">
      <c r="A495" s="1" t="s">
        <v>587</v>
      </c>
      <c r="B495" s="1" t="s">
        <v>26</v>
      </c>
      <c r="C495" s="1" t="s">
        <v>39</v>
      </c>
      <c r="D495" s="1">
        <v>2</v>
      </c>
      <c r="E495" s="1">
        <f t="shared" si="10"/>
        <v>4</v>
      </c>
      <c r="F495" s="7">
        <v>950000</v>
      </c>
      <c r="G495" s="5"/>
    </row>
    <row r="496" spans="1:7" ht="14.45">
      <c r="A496" s="1" t="s">
        <v>588</v>
      </c>
      <c r="B496" s="1" t="s">
        <v>7</v>
      </c>
      <c r="C496" s="1" t="s">
        <v>41</v>
      </c>
      <c r="D496" s="1">
        <v>4</v>
      </c>
      <c r="E496" s="1">
        <f t="shared" si="10"/>
        <v>8</v>
      </c>
      <c r="F496" s="7">
        <v>950000</v>
      </c>
      <c r="G496" s="5"/>
    </row>
    <row r="497" spans="1:7" ht="14.45">
      <c r="A497" s="1" t="s">
        <v>589</v>
      </c>
      <c r="B497" s="1" t="s">
        <v>30</v>
      </c>
      <c r="C497" s="1" t="s">
        <v>43</v>
      </c>
      <c r="D497" s="1">
        <v>6</v>
      </c>
      <c r="E497" s="1">
        <f t="shared" si="10"/>
        <v>12</v>
      </c>
      <c r="F497" s="7">
        <v>930000</v>
      </c>
      <c r="G497" s="5"/>
    </row>
    <row r="498" spans="1:7" ht="14.45">
      <c r="A498" s="1" t="s">
        <v>590</v>
      </c>
      <c r="B498" s="1" t="s">
        <v>30</v>
      </c>
      <c r="C498" s="1" t="s">
        <v>36</v>
      </c>
      <c r="D498" s="1">
        <v>1</v>
      </c>
      <c r="E498" s="1">
        <f t="shared" si="10"/>
        <v>2</v>
      </c>
      <c r="F498" s="7">
        <v>925000</v>
      </c>
      <c r="G498" s="5"/>
    </row>
    <row r="499" spans="1:7" ht="14.45">
      <c r="A499" s="1" t="s">
        <v>591</v>
      </c>
      <c r="B499" s="1" t="s">
        <v>23</v>
      </c>
      <c r="C499" s="1" t="s">
        <v>36</v>
      </c>
      <c r="D499" s="1">
        <v>2</v>
      </c>
      <c r="E499" s="1">
        <f t="shared" si="10"/>
        <v>4</v>
      </c>
      <c r="F499" s="7">
        <v>905000</v>
      </c>
      <c r="G499" s="5"/>
    </row>
    <row r="500" spans="1:7" ht="14.45">
      <c r="A500" s="1" t="s">
        <v>592</v>
      </c>
      <c r="B500" s="1" t="s">
        <v>5</v>
      </c>
      <c r="C500" s="1" t="s">
        <v>39</v>
      </c>
      <c r="D500" s="1">
        <v>3</v>
      </c>
      <c r="E500" s="1">
        <f t="shared" si="10"/>
        <v>6</v>
      </c>
      <c r="F500" s="7">
        <v>900000</v>
      </c>
      <c r="G500" s="5"/>
    </row>
    <row r="501" spans="1:7" ht="14.45">
      <c r="A501" s="1" t="s">
        <v>593</v>
      </c>
      <c r="B501" s="1" t="s">
        <v>31</v>
      </c>
      <c r="C501" s="1" t="s">
        <v>39</v>
      </c>
      <c r="D501" s="1">
        <v>1</v>
      </c>
      <c r="E501" s="1">
        <f t="shared" si="10"/>
        <v>2</v>
      </c>
      <c r="F501" s="7">
        <v>870000</v>
      </c>
      <c r="G501" s="5"/>
    </row>
    <row r="502" spans="1:7" ht="14.45">
      <c r="A502" s="1" t="s">
        <v>594</v>
      </c>
      <c r="B502" s="1" t="s">
        <v>9</v>
      </c>
      <c r="C502" s="1" t="s">
        <v>40</v>
      </c>
      <c r="D502" s="1">
        <v>1</v>
      </c>
      <c r="E502" s="1">
        <f t="shared" si="10"/>
        <v>2</v>
      </c>
      <c r="F502" s="7">
        <v>860000</v>
      </c>
      <c r="G502" s="5"/>
    </row>
    <row r="503" spans="1:7" ht="14.45">
      <c r="A503" s="1" t="s">
        <v>595</v>
      </c>
      <c r="B503" s="1" t="s">
        <v>6</v>
      </c>
      <c r="C503" s="1" t="s">
        <v>40</v>
      </c>
      <c r="D503" s="1">
        <v>3</v>
      </c>
      <c r="E503" s="1">
        <f t="shared" si="10"/>
        <v>6</v>
      </c>
      <c r="F503" s="7">
        <v>850000</v>
      </c>
      <c r="G503" s="5"/>
    </row>
    <row r="504" spans="1:7" ht="14.45">
      <c r="A504" s="1" t="s">
        <v>596</v>
      </c>
      <c r="B504" s="1" t="s">
        <v>19</v>
      </c>
      <c r="C504" s="1" t="s">
        <v>38</v>
      </c>
      <c r="D504" s="1">
        <v>4</v>
      </c>
      <c r="E504" s="1">
        <f t="shared" si="10"/>
        <v>8</v>
      </c>
      <c r="F504" s="7">
        <v>850000</v>
      </c>
      <c r="G504" s="5"/>
    </row>
    <row r="505" spans="1:7" ht="14.45">
      <c r="A505" s="1" t="s">
        <v>597</v>
      </c>
      <c r="B505" s="1" t="s">
        <v>2</v>
      </c>
      <c r="C505" s="1" t="s">
        <v>40</v>
      </c>
      <c r="D505" s="1">
        <v>6</v>
      </c>
      <c r="E505" s="1">
        <f t="shared" si="10"/>
        <v>12</v>
      </c>
      <c r="F505" s="7">
        <v>850000</v>
      </c>
      <c r="G505" s="5"/>
    </row>
    <row r="506" spans="1:7" ht="14.45">
      <c r="A506" s="1" t="s">
        <v>598</v>
      </c>
      <c r="B506" s="1" t="s">
        <v>3</v>
      </c>
      <c r="C506" s="1" t="s">
        <v>40</v>
      </c>
      <c r="D506" s="1">
        <v>3</v>
      </c>
      <c r="E506" s="1">
        <f t="shared" si="10"/>
        <v>6</v>
      </c>
      <c r="F506" s="7">
        <v>820000</v>
      </c>
      <c r="G506" s="5"/>
    </row>
    <row r="507" spans="1:7" ht="14.45">
      <c r="A507" s="1" t="s">
        <v>599</v>
      </c>
      <c r="B507" s="1" t="s">
        <v>22</v>
      </c>
      <c r="C507" s="1" t="s">
        <v>40</v>
      </c>
      <c r="D507" s="1">
        <v>1</v>
      </c>
      <c r="E507" s="1">
        <f t="shared" si="10"/>
        <v>2</v>
      </c>
      <c r="F507" s="7">
        <v>805000</v>
      </c>
      <c r="G507" s="5"/>
    </row>
    <row r="508" spans="1:7" ht="14.45">
      <c r="A508" s="1" t="s">
        <v>600</v>
      </c>
      <c r="B508" s="1" t="s">
        <v>15</v>
      </c>
      <c r="C508" s="1" t="s">
        <v>40</v>
      </c>
      <c r="D508" s="1">
        <v>3</v>
      </c>
      <c r="E508" s="1">
        <f t="shared" si="10"/>
        <v>6</v>
      </c>
      <c r="F508" s="7">
        <v>800000</v>
      </c>
      <c r="G508" s="5"/>
    </row>
    <row r="509" spans="1:7" ht="14.45">
      <c r="A509" s="1" t="s">
        <v>601</v>
      </c>
      <c r="B509" s="1" t="s">
        <v>3</v>
      </c>
      <c r="C509" s="1" t="s">
        <v>40</v>
      </c>
      <c r="D509" s="1">
        <v>3</v>
      </c>
      <c r="E509" s="1">
        <f t="shared" si="10"/>
        <v>6</v>
      </c>
      <c r="F509" s="7">
        <v>800000</v>
      </c>
      <c r="G509" s="5"/>
    </row>
    <row r="510" spans="1:7" ht="14.45">
      <c r="A510" s="1" t="s">
        <v>602</v>
      </c>
      <c r="B510" s="1" t="s">
        <v>28</v>
      </c>
      <c r="C510" s="1" t="s">
        <v>39</v>
      </c>
      <c r="D510" s="1">
        <v>4</v>
      </c>
      <c r="E510" s="1">
        <f t="shared" si="10"/>
        <v>8</v>
      </c>
      <c r="F510" s="7">
        <v>782000</v>
      </c>
      <c r="G510" s="5"/>
    </row>
    <row r="511" spans="1:7" ht="14.45">
      <c r="A511" s="1" t="s">
        <v>603</v>
      </c>
      <c r="B511" s="1" t="s">
        <v>23</v>
      </c>
      <c r="C511" s="1" t="s">
        <v>39</v>
      </c>
      <c r="D511" s="1">
        <v>8</v>
      </c>
      <c r="E511" s="1">
        <f t="shared" si="10"/>
        <v>16</v>
      </c>
      <c r="F511" s="7">
        <v>775000</v>
      </c>
      <c r="G511" s="5"/>
    </row>
    <row r="512" spans="1:7" ht="14.45">
      <c r="A512" s="1" t="s">
        <v>604</v>
      </c>
      <c r="B512" s="1" t="s">
        <v>28</v>
      </c>
      <c r="C512" s="1" t="s">
        <v>39</v>
      </c>
      <c r="D512" s="1">
        <v>9</v>
      </c>
      <c r="E512" s="1">
        <v>13</v>
      </c>
      <c r="F512" s="7">
        <v>750000</v>
      </c>
      <c r="G512" s="5"/>
    </row>
    <row r="513" spans="1:7" ht="14.45">
      <c r="A513" s="1" t="s">
        <v>605</v>
      </c>
      <c r="B513" s="1" t="s">
        <v>3</v>
      </c>
      <c r="C513" s="1" t="s">
        <v>41</v>
      </c>
      <c r="D513" s="1">
        <v>6</v>
      </c>
      <c r="E513" s="1">
        <f t="shared" ref="E513:E548" si="11">D513*2</f>
        <v>12</v>
      </c>
      <c r="F513" s="7">
        <v>750000</v>
      </c>
      <c r="G513" s="5"/>
    </row>
    <row r="514" spans="1:7" ht="14.45">
      <c r="A514" s="1" t="s">
        <v>606</v>
      </c>
      <c r="B514" s="1" t="s">
        <v>30</v>
      </c>
      <c r="C514" s="1" t="s">
        <v>40</v>
      </c>
      <c r="D514" s="1">
        <v>4</v>
      </c>
      <c r="E514" s="1">
        <f t="shared" si="11"/>
        <v>8</v>
      </c>
      <c r="F514" s="7">
        <v>720000</v>
      </c>
      <c r="G514" s="5"/>
    </row>
    <row r="515" spans="1:7" ht="14.45">
      <c r="A515" s="1" t="s">
        <v>607</v>
      </c>
      <c r="B515" s="1" t="s">
        <v>9</v>
      </c>
      <c r="C515" s="1" t="s">
        <v>40</v>
      </c>
      <c r="D515" s="1">
        <v>9</v>
      </c>
      <c r="E515" s="1">
        <f t="shared" si="11"/>
        <v>18</v>
      </c>
      <c r="F515" s="7">
        <v>690000</v>
      </c>
      <c r="G515" s="5"/>
    </row>
    <row r="516" spans="1:7" ht="14.45">
      <c r="A516" s="1" t="s">
        <v>608</v>
      </c>
      <c r="B516" s="1" t="s">
        <v>7</v>
      </c>
      <c r="C516" s="1" t="s">
        <v>41</v>
      </c>
      <c r="D516" s="1">
        <v>6</v>
      </c>
      <c r="E516" s="1">
        <f t="shared" si="11"/>
        <v>12</v>
      </c>
      <c r="F516" s="7">
        <v>657000</v>
      </c>
      <c r="G516" s="5"/>
    </row>
    <row r="517" spans="1:7" ht="14.45">
      <c r="A517" s="1" t="s">
        <v>609</v>
      </c>
      <c r="B517" s="1" t="s">
        <v>29</v>
      </c>
      <c r="C517" s="1" t="s">
        <v>36</v>
      </c>
      <c r="D517" s="1">
        <v>8</v>
      </c>
      <c r="E517" s="1">
        <f t="shared" si="11"/>
        <v>16</v>
      </c>
      <c r="F517" s="7">
        <v>650000</v>
      </c>
      <c r="G517" s="5"/>
    </row>
    <row r="518" spans="1:7" ht="14.45">
      <c r="A518" s="1" t="s">
        <v>610</v>
      </c>
      <c r="B518" s="1" t="s">
        <v>12</v>
      </c>
      <c r="C518" s="1" t="s">
        <v>43</v>
      </c>
      <c r="D518" s="1">
        <v>5</v>
      </c>
      <c r="E518" s="1">
        <f t="shared" si="11"/>
        <v>10</v>
      </c>
      <c r="F518" s="7">
        <v>650000</v>
      </c>
      <c r="G518" s="5"/>
    </row>
    <row r="519" spans="1:7" ht="14.45">
      <c r="A519" s="1" t="s">
        <v>611</v>
      </c>
      <c r="B519" s="1" t="s">
        <v>26</v>
      </c>
      <c r="C519" s="1" t="s">
        <v>40</v>
      </c>
      <c r="D519" s="1">
        <v>4</v>
      </c>
      <c r="E519" s="1">
        <f t="shared" si="11"/>
        <v>8</v>
      </c>
      <c r="F519" s="7">
        <v>650000</v>
      </c>
      <c r="G519" s="5"/>
    </row>
    <row r="520" spans="1:7" ht="14.45">
      <c r="A520" s="1" t="s">
        <v>612</v>
      </c>
      <c r="B520" s="1" t="s">
        <v>20</v>
      </c>
      <c r="C520" s="1" t="s">
        <v>40</v>
      </c>
      <c r="D520" s="1">
        <v>5</v>
      </c>
      <c r="E520" s="1">
        <f t="shared" si="11"/>
        <v>10</v>
      </c>
      <c r="F520" s="7">
        <v>650000</v>
      </c>
      <c r="G520" s="5"/>
    </row>
    <row r="521" spans="1:7" ht="14.45">
      <c r="A521" s="1" t="s">
        <v>613</v>
      </c>
      <c r="B521" s="1" t="s">
        <v>28</v>
      </c>
      <c r="C521" s="1" t="s">
        <v>40</v>
      </c>
      <c r="D521" s="1">
        <v>5</v>
      </c>
      <c r="E521" s="1">
        <f t="shared" si="11"/>
        <v>10</v>
      </c>
      <c r="F521" s="7">
        <v>650000</v>
      </c>
      <c r="G521" s="5"/>
    </row>
    <row r="522" spans="1:7" ht="14.45">
      <c r="A522" s="1" t="s">
        <v>614</v>
      </c>
      <c r="B522" s="1" t="s">
        <v>9</v>
      </c>
      <c r="C522" s="1" t="s">
        <v>39</v>
      </c>
      <c r="D522" s="1">
        <v>6</v>
      </c>
      <c r="E522" s="1">
        <f t="shared" si="11"/>
        <v>12</v>
      </c>
      <c r="F522" s="7">
        <v>645000</v>
      </c>
      <c r="G522" s="5"/>
    </row>
    <row r="523" spans="1:7" ht="14.45">
      <c r="A523" s="1" t="s">
        <v>615</v>
      </c>
      <c r="B523" s="1" t="s">
        <v>16</v>
      </c>
      <c r="C523" s="1" t="s">
        <v>40</v>
      </c>
      <c r="D523" s="1">
        <v>2</v>
      </c>
      <c r="E523" s="1">
        <f t="shared" si="11"/>
        <v>4</v>
      </c>
      <c r="F523" s="7">
        <v>630000</v>
      </c>
      <c r="G523" s="5"/>
    </row>
    <row r="524" spans="1:7" ht="14.45">
      <c r="A524" s="1" t="s">
        <v>616</v>
      </c>
      <c r="B524" s="1" t="s">
        <v>10</v>
      </c>
      <c r="C524" s="1" t="s">
        <v>42</v>
      </c>
      <c r="D524" s="1">
        <v>2</v>
      </c>
      <c r="E524" s="1">
        <f t="shared" si="11"/>
        <v>4</v>
      </c>
      <c r="F524" s="7">
        <v>623200</v>
      </c>
      <c r="G524" s="5"/>
    </row>
    <row r="525" spans="1:7" ht="14.45">
      <c r="A525" s="1" t="s">
        <v>617</v>
      </c>
      <c r="B525" s="1" t="s">
        <v>22</v>
      </c>
      <c r="C525" s="1" t="s">
        <v>39</v>
      </c>
      <c r="D525" s="1">
        <v>2</v>
      </c>
      <c r="E525" s="1">
        <f t="shared" si="11"/>
        <v>4</v>
      </c>
      <c r="F525" s="7">
        <v>622300</v>
      </c>
      <c r="G525" s="5"/>
    </row>
    <row r="526" spans="1:7" ht="14.45">
      <c r="A526" s="1" t="s">
        <v>618</v>
      </c>
      <c r="B526" s="1" t="s">
        <v>22</v>
      </c>
      <c r="C526" s="1" t="s">
        <v>43</v>
      </c>
      <c r="D526" s="1">
        <v>1</v>
      </c>
      <c r="E526" s="1">
        <f t="shared" si="11"/>
        <v>2</v>
      </c>
      <c r="F526" s="7">
        <v>621900</v>
      </c>
      <c r="G526" s="5"/>
    </row>
    <row r="527" spans="1:7" ht="14.45">
      <c r="A527" s="1" t="s">
        <v>619</v>
      </c>
      <c r="B527" s="1" t="s">
        <v>6</v>
      </c>
      <c r="C527" s="1" t="s">
        <v>39</v>
      </c>
      <c r="D527" s="1">
        <v>2</v>
      </c>
      <c r="E527" s="1">
        <f t="shared" si="11"/>
        <v>4</v>
      </c>
      <c r="F527" s="7">
        <v>620500</v>
      </c>
      <c r="G527" s="5"/>
    </row>
    <row r="528" spans="1:7" ht="14.45">
      <c r="A528" s="1" t="s">
        <v>620</v>
      </c>
      <c r="B528" s="1" t="s">
        <v>22</v>
      </c>
      <c r="C528" s="1" t="s">
        <v>36</v>
      </c>
      <c r="D528" s="1">
        <v>2</v>
      </c>
      <c r="E528" s="1">
        <f t="shared" si="11"/>
        <v>4</v>
      </c>
      <c r="F528" s="7">
        <v>620400</v>
      </c>
      <c r="G528" s="5"/>
    </row>
    <row r="529" spans="1:7" ht="14.45">
      <c r="A529" s="1" t="s">
        <v>621</v>
      </c>
      <c r="B529" s="1" t="s">
        <v>22</v>
      </c>
      <c r="C529" s="1" t="s">
        <v>42</v>
      </c>
      <c r="D529" s="1">
        <v>2</v>
      </c>
      <c r="E529" s="1">
        <f t="shared" si="11"/>
        <v>4</v>
      </c>
      <c r="F529" s="7">
        <v>615500</v>
      </c>
      <c r="G529" s="5"/>
    </row>
    <row r="530" spans="1:7" ht="14.45">
      <c r="A530" s="1" t="s">
        <v>622</v>
      </c>
      <c r="B530" s="1" t="s">
        <v>7</v>
      </c>
      <c r="C530" s="1" t="s">
        <v>40</v>
      </c>
      <c r="D530" s="1">
        <v>2</v>
      </c>
      <c r="E530" s="1">
        <f t="shared" si="11"/>
        <v>4</v>
      </c>
      <c r="F530" s="7">
        <v>611250</v>
      </c>
      <c r="G530" s="5"/>
    </row>
    <row r="531" spans="1:7" ht="14.45">
      <c r="A531" s="1" t="s">
        <v>623</v>
      </c>
      <c r="B531" s="1" t="s">
        <v>3</v>
      </c>
      <c r="C531" s="1" t="s">
        <v>40</v>
      </c>
      <c r="D531" s="1">
        <v>2</v>
      </c>
      <c r="E531" s="1">
        <f t="shared" si="11"/>
        <v>4</v>
      </c>
      <c r="F531" s="7">
        <v>610000</v>
      </c>
      <c r="G531" s="5"/>
    </row>
    <row r="532" spans="1:7" ht="14.45">
      <c r="A532" s="1" t="s">
        <v>624</v>
      </c>
      <c r="B532" s="1" t="s">
        <v>11</v>
      </c>
      <c r="C532" s="1" t="s">
        <v>40</v>
      </c>
      <c r="D532" s="1">
        <v>2</v>
      </c>
      <c r="E532" s="1">
        <f t="shared" si="11"/>
        <v>4</v>
      </c>
      <c r="F532" s="7">
        <v>610000</v>
      </c>
      <c r="G532" s="5"/>
    </row>
    <row r="533" spans="1:7" ht="14.45">
      <c r="A533" s="1" t="s">
        <v>625</v>
      </c>
      <c r="B533" s="1" t="s">
        <v>21</v>
      </c>
      <c r="C533" s="1" t="s">
        <v>39</v>
      </c>
      <c r="D533" s="1">
        <v>3</v>
      </c>
      <c r="E533" s="1">
        <f t="shared" si="11"/>
        <v>6</v>
      </c>
      <c r="F533" s="7">
        <v>605094</v>
      </c>
      <c r="G533" s="5"/>
    </row>
    <row r="534" spans="1:7" ht="14.45">
      <c r="A534" s="1" t="s">
        <v>626</v>
      </c>
      <c r="B534" s="1" t="s">
        <v>16</v>
      </c>
      <c r="C534" s="1" t="s">
        <v>42</v>
      </c>
      <c r="D534" s="1">
        <v>1</v>
      </c>
      <c r="E534" s="1">
        <f t="shared" si="11"/>
        <v>2</v>
      </c>
      <c r="F534" s="7">
        <v>605000</v>
      </c>
      <c r="G534" s="5"/>
    </row>
    <row r="535" spans="1:7" ht="14.45">
      <c r="A535" s="1" t="s">
        <v>627</v>
      </c>
      <c r="B535" s="1" t="s">
        <v>6</v>
      </c>
      <c r="C535" s="1" t="s">
        <v>40</v>
      </c>
      <c r="D535" s="1">
        <v>2</v>
      </c>
      <c r="E535" s="1">
        <f t="shared" si="11"/>
        <v>4</v>
      </c>
      <c r="F535" s="7">
        <v>605000</v>
      </c>
      <c r="G535" s="5"/>
    </row>
    <row r="536" spans="1:7" ht="14.45">
      <c r="A536" s="1" t="s">
        <v>628</v>
      </c>
      <c r="B536" s="1" t="s">
        <v>22</v>
      </c>
      <c r="C536" s="1" t="s">
        <v>40</v>
      </c>
      <c r="D536" s="1">
        <v>5</v>
      </c>
      <c r="E536" s="1">
        <f t="shared" si="11"/>
        <v>10</v>
      </c>
      <c r="F536" s="7">
        <v>604975</v>
      </c>
      <c r="G536" s="5"/>
    </row>
    <row r="537" spans="1:7" ht="14.45">
      <c r="A537" s="1" t="s">
        <v>629</v>
      </c>
      <c r="B537" s="1" t="s">
        <v>7</v>
      </c>
      <c r="C537" s="1" t="s">
        <v>39</v>
      </c>
      <c r="D537" s="1">
        <v>4</v>
      </c>
      <c r="E537" s="1">
        <f t="shared" si="11"/>
        <v>8</v>
      </c>
      <c r="F537" s="7">
        <v>604500</v>
      </c>
      <c r="G537" s="5"/>
    </row>
    <row r="538" spans="1:7" ht="14.45">
      <c r="A538" s="1" t="s">
        <v>630</v>
      </c>
      <c r="B538" s="1" t="s">
        <v>7</v>
      </c>
      <c r="C538" s="1" t="s">
        <v>36</v>
      </c>
      <c r="D538" s="1">
        <v>6</v>
      </c>
      <c r="E538" s="1">
        <f t="shared" si="11"/>
        <v>12</v>
      </c>
      <c r="F538" s="7">
        <v>604500</v>
      </c>
      <c r="G538" s="5"/>
    </row>
    <row r="539" spans="1:7" ht="14.45">
      <c r="A539" s="1" t="s">
        <v>631</v>
      </c>
      <c r="B539" s="1" t="s">
        <v>20</v>
      </c>
      <c r="C539" s="1" t="s">
        <v>39</v>
      </c>
      <c r="D539" s="1">
        <v>4</v>
      </c>
      <c r="E539" s="1">
        <f t="shared" si="11"/>
        <v>8</v>
      </c>
      <c r="F539" s="7">
        <v>602500</v>
      </c>
      <c r="G539" s="5"/>
    </row>
    <row r="540" spans="1:7" ht="14.45">
      <c r="A540" s="1" t="s">
        <v>632</v>
      </c>
      <c r="B540" s="1" t="s">
        <v>20</v>
      </c>
      <c r="C540" s="1" t="s">
        <v>43</v>
      </c>
      <c r="D540" s="1">
        <v>5</v>
      </c>
      <c r="E540" s="1">
        <f t="shared" si="11"/>
        <v>10</v>
      </c>
      <c r="F540" s="7">
        <v>602500</v>
      </c>
      <c r="G540" s="5"/>
    </row>
    <row r="541" spans="1:7" ht="14.45">
      <c r="A541" s="1" t="s">
        <v>633</v>
      </c>
      <c r="B541" s="1" t="s">
        <v>31</v>
      </c>
      <c r="C541" s="1" t="s">
        <v>36</v>
      </c>
      <c r="D541" s="1">
        <v>6</v>
      </c>
      <c r="E541" s="1">
        <f t="shared" si="11"/>
        <v>12</v>
      </c>
      <c r="F541" s="7">
        <v>600000</v>
      </c>
      <c r="G541" s="5"/>
    </row>
    <row r="542" spans="1:7" ht="14.45">
      <c r="A542" s="1" t="s">
        <v>634</v>
      </c>
      <c r="B542" s="1" t="s">
        <v>24</v>
      </c>
      <c r="C542" s="1" t="s">
        <v>39</v>
      </c>
      <c r="D542" s="1">
        <v>4</v>
      </c>
      <c r="E542" s="1">
        <f t="shared" si="11"/>
        <v>8</v>
      </c>
      <c r="F542" s="7">
        <v>600000</v>
      </c>
      <c r="G542" s="5"/>
    </row>
    <row r="543" spans="1:7" ht="14.45">
      <c r="A543" s="1" t="s">
        <v>635</v>
      </c>
      <c r="B543" s="1" t="s">
        <v>13</v>
      </c>
      <c r="C543" s="1" t="s">
        <v>40</v>
      </c>
      <c r="D543" s="1">
        <v>5</v>
      </c>
      <c r="E543" s="1">
        <f t="shared" si="11"/>
        <v>10</v>
      </c>
      <c r="F543" s="7">
        <v>599200</v>
      </c>
      <c r="G543" s="5"/>
    </row>
    <row r="544" spans="1:7" ht="14.45">
      <c r="A544" s="1" t="s">
        <v>636</v>
      </c>
      <c r="B544" s="1" t="s">
        <v>13</v>
      </c>
      <c r="C544" s="1" t="s">
        <v>43</v>
      </c>
      <c r="D544" s="1">
        <v>8</v>
      </c>
      <c r="E544" s="1">
        <f t="shared" si="11"/>
        <v>16</v>
      </c>
      <c r="F544" s="7">
        <v>599000</v>
      </c>
      <c r="G544" s="5"/>
    </row>
    <row r="545" spans="1:7" ht="14.45">
      <c r="A545" s="1" t="s">
        <v>637</v>
      </c>
      <c r="B545" s="1" t="s">
        <v>7</v>
      </c>
      <c r="C545" s="1" t="s">
        <v>40</v>
      </c>
      <c r="D545" s="1">
        <v>4</v>
      </c>
      <c r="E545" s="1">
        <f t="shared" si="11"/>
        <v>8</v>
      </c>
      <c r="F545" s="7">
        <v>594000</v>
      </c>
      <c r="G545" s="5"/>
    </row>
    <row r="546" spans="1:7" ht="14.45">
      <c r="A546" s="1" t="s">
        <v>638</v>
      </c>
      <c r="B546" s="1" t="s">
        <v>20</v>
      </c>
      <c r="C546" s="1" t="s">
        <v>39</v>
      </c>
      <c r="D546" s="1">
        <v>6</v>
      </c>
      <c r="E546" s="1">
        <f t="shared" si="11"/>
        <v>12</v>
      </c>
      <c r="F546" s="7">
        <v>587500</v>
      </c>
      <c r="G546" s="5"/>
    </row>
    <row r="547" spans="1:7" ht="14.45">
      <c r="A547" s="1" t="s">
        <v>639</v>
      </c>
      <c r="B547" s="1" t="s">
        <v>16</v>
      </c>
      <c r="C547" s="1" t="s">
        <v>38</v>
      </c>
      <c r="D547" s="1">
        <v>1</v>
      </c>
      <c r="E547" s="1">
        <f t="shared" si="11"/>
        <v>2</v>
      </c>
      <c r="F547" s="7">
        <v>585000</v>
      </c>
      <c r="G547" s="5"/>
    </row>
    <row r="548" spans="1:7" ht="14.45">
      <c r="A548" s="1" t="s">
        <v>640</v>
      </c>
      <c r="B548" s="1" t="s">
        <v>20</v>
      </c>
      <c r="C548" s="1" t="s">
        <v>39</v>
      </c>
      <c r="D548" s="1">
        <v>7</v>
      </c>
      <c r="E548" s="1">
        <f t="shared" si="11"/>
        <v>14</v>
      </c>
      <c r="F548" s="7">
        <v>585000</v>
      </c>
      <c r="G548" s="5"/>
    </row>
    <row r="549" spans="1:7" ht="14.45">
      <c r="A549" s="1" t="s">
        <v>641</v>
      </c>
      <c r="B549" s="1" t="s">
        <v>7</v>
      </c>
      <c r="C549" s="1" t="s">
        <v>39</v>
      </c>
      <c r="D549" s="1">
        <v>8</v>
      </c>
      <c r="E549" s="1">
        <v>14</v>
      </c>
      <c r="F549" s="7">
        <v>584500</v>
      </c>
      <c r="G549" s="5"/>
    </row>
    <row r="550" spans="1:7" ht="14.45">
      <c r="A550" s="1" t="s">
        <v>642</v>
      </c>
      <c r="B550" s="1" t="s">
        <v>24</v>
      </c>
      <c r="C550" s="1" t="s">
        <v>40</v>
      </c>
      <c r="D550" s="1">
        <v>8</v>
      </c>
      <c r="E550" s="1">
        <f>D550*2</f>
        <v>16</v>
      </c>
      <c r="F550" s="7">
        <v>582500</v>
      </c>
      <c r="G550" s="5"/>
    </row>
    <row r="551" spans="1:7" ht="14.45">
      <c r="A551" s="1" t="s">
        <v>643</v>
      </c>
      <c r="B551" s="1" t="s">
        <v>22</v>
      </c>
      <c r="C551" s="1" t="s">
        <v>38</v>
      </c>
      <c r="D551" s="1">
        <v>1</v>
      </c>
      <c r="E551" s="1">
        <f>D551*2</f>
        <v>2</v>
      </c>
      <c r="F551" s="7">
        <v>582000</v>
      </c>
      <c r="G551" s="5"/>
    </row>
    <row r="552" spans="1:7" ht="14.45">
      <c r="A552" s="1" t="s">
        <v>644</v>
      </c>
      <c r="B552" s="1" t="s">
        <v>2</v>
      </c>
      <c r="C552" s="1" t="s">
        <v>40</v>
      </c>
      <c r="D552" s="1">
        <v>10</v>
      </c>
      <c r="E552" s="1">
        <v>14</v>
      </c>
      <c r="F552" s="7">
        <v>581900</v>
      </c>
      <c r="G552" s="5"/>
    </row>
    <row r="553" spans="1:7" ht="14.45">
      <c r="A553" s="1" t="s">
        <v>645</v>
      </c>
      <c r="B553" s="1" t="s">
        <v>6</v>
      </c>
      <c r="C553" s="1" t="s">
        <v>40</v>
      </c>
      <c r="D553" s="1">
        <v>4</v>
      </c>
      <c r="E553" s="1">
        <f t="shared" ref="E553:E567" si="12">D553*2</f>
        <v>8</v>
      </c>
      <c r="F553" s="7">
        <v>581500</v>
      </c>
      <c r="G553" s="5"/>
    </row>
    <row r="554" spans="1:7" ht="14.45">
      <c r="A554" s="1" t="s">
        <v>646</v>
      </c>
      <c r="B554" s="1" t="s">
        <v>22</v>
      </c>
      <c r="C554" s="1" t="s">
        <v>40</v>
      </c>
      <c r="D554" s="1">
        <v>4</v>
      </c>
      <c r="E554" s="1">
        <f t="shared" si="12"/>
        <v>8</v>
      </c>
      <c r="F554" s="7">
        <v>580450</v>
      </c>
      <c r="G554" s="5"/>
    </row>
    <row r="555" spans="1:7" ht="14.45">
      <c r="A555" s="1" t="s">
        <v>647</v>
      </c>
      <c r="B555" s="1" t="s">
        <v>20</v>
      </c>
      <c r="C555" s="1" t="s">
        <v>39</v>
      </c>
      <c r="D555" s="1">
        <v>5</v>
      </c>
      <c r="E555" s="1">
        <f t="shared" si="12"/>
        <v>10</v>
      </c>
      <c r="F555" s="7">
        <v>580000</v>
      </c>
      <c r="G555" s="5"/>
    </row>
    <row r="556" spans="1:7" ht="14.45">
      <c r="A556" s="1" t="s">
        <v>648</v>
      </c>
      <c r="B556" s="1" t="s">
        <v>26</v>
      </c>
      <c r="C556" s="1" t="s">
        <v>36</v>
      </c>
      <c r="D556" s="1">
        <v>6</v>
      </c>
      <c r="E556" s="1">
        <f t="shared" si="12"/>
        <v>12</v>
      </c>
      <c r="F556" s="7">
        <v>580000</v>
      </c>
      <c r="G556" s="5"/>
    </row>
    <row r="557" spans="1:7" ht="14.45">
      <c r="A557" s="1" t="s">
        <v>649</v>
      </c>
      <c r="B557" s="1" t="s">
        <v>9</v>
      </c>
      <c r="C557" s="1" t="s">
        <v>39</v>
      </c>
      <c r="D557" s="1">
        <v>4</v>
      </c>
      <c r="E557" s="1">
        <f t="shared" si="12"/>
        <v>8</v>
      </c>
      <c r="F557" s="7">
        <v>580000</v>
      </c>
      <c r="G557" s="5"/>
    </row>
    <row r="558" spans="1:7" ht="14.45">
      <c r="A558" s="1" t="s">
        <v>650</v>
      </c>
      <c r="B558" s="1" t="s">
        <v>2</v>
      </c>
      <c r="C558" s="1" t="s">
        <v>40</v>
      </c>
      <c r="D558" s="1">
        <v>9</v>
      </c>
      <c r="E558" s="1">
        <f t="shared" si="12"/>
        <v>18</v>
      </c>
      <c r="F558" s="7">
        <v>579200</v>
      </c>
      <c r="G558" s="5"/>
    </row>
    <row r="559" spans="1:7" ht="14.45">
      <c r="A559" s="1" t="s">
        <v>651</v>
      </c>
      <c r="B559" s="1" t="s">
        <v>9</v>
      </c>
      <c r="C559" s="1" t="s">
        <v>40</v>
      </c>
      <c r="D559" s="1">
        <v>6</v>
      </c>
      <c r="E559" s="1">
        <f t="shared" si="12"/>
        <v>12</v>
      </c>
      <c r="F559" s="7">
        <v>577500</v>
      </c>
      <c r="G559" s="5"/>
    </row>
    <row r="560" spans="1:7" ht="14.45">
      <c r="A560" s="1" t="s">
        <v>652</v>
      </c>
      <c r="B560" s="1" t="s">
        <v>33</v>
      </c>
      <c r="C560" s="1" t="s">
        <v>42</v>
      </c>
      <c r="D560" s="1">
        <v>7</v>
      </c>
      <c r="E560" s="1">
        <f t="shared" si="12"/>
        <v>14</v>
      </c>
      <c r="F560" s="7">
        <v>577200</v>
      </c>
      <c r="G560" s="5"/>
    </row>
    <row r="561" spans="1:7" ht="14.45">
      <c r="A561" s="1" t="s">
        <v>653</v>
      </c>
      <c r="B561" s="1" t="s">
        <v>21</v>
      </c>
      <c r="C561" s="1" t="s">
        <v>40</v>
      </c>
      <c r="D561" s="1">
        <v>9</v>
      </c>
      <c r="E561" s="1">
        <f t="shared" si="12"/>
        <v>18</v>
      </c>
      <c r="F561" s="7">
        <v>577000</v>
      </c>
      <c r="G561" s="5"/>
    </row>
    <row r="562" spans="1:7" ht="14.45">
      <c r="A562" s="1" t="s">
        <v>654</v>
      </c>
      <c r="B562" s="1" t="s">
        <v>25</v>
      </c>
      <c r="C562" s="1" t="s">
        <v>40</v>
      </c>
      <c r="D562" s="1">
        <v>6</v>
      </c>
      <c r="E562" s="1">
        <f t="shared" si="12"/>
        <v>12</v>
      </c>
      <c r="F562" s="7">
        <v>575500</v>
      </c>
      <c r="G562" s="5"/>
    </row>
    <row r="563" spans="1:7" ht="14.45">
      <c r="A563" s="1" t="s">
        <v>655</v>
      </c>
      <c r="B563" s="1" t="s">
        <v>12</v>
      </c>
      <c r="C563" s="1" t="s">
        <v>40</v>
      </c>
      <c r="D563" s="1">
        <v>4</v>
      </c>
      <c r="E563" s="1">
        <f t="shared" si="12"/>
        <v>8</v>
      </c>
      <c r="F563" s="7">
        <v>575200</v>
      </c>
      <c r="G563" s="5"/>
    </row>
    <row r="564" spans="1:7" ht="14.45">
      <c r="A564" s="1" t="s">
        <v>656</v>
      </c>
      <c r="B564" s="1" t="s">
        <v>3</v>
      </c>
      <c r="C564" s="1" t="s">
        <v>42</v>
      </c>
      <c r="D564" s="1">
        <v>6</v>
      </c>
      <c r="E564" s="1">
        <f t="shared" si="12"/>
        <v>12</v>
      </c>
      <c r="F564" s="7">
        <v>575000</v>
      </c>
      <c r="G564" s="5"/>
    </row>
    <row r="565" spans="1:7" ht="14.45">
      <c r="A565" s="1" t="s">
        <v>657</v>
      </c>
      <c r="B565" s="1" t="s">
        <v>3</v>
      </c>
      <c r="C565" s="1" t="s">
        <v>36</v>
      </c>
      <c r="D565" s="1">
        <v>4</v>
      </c>
      <c r="E565" s="1">
        <f t="shared" si="12"/>
        <v>8</v>
      </c>
      <c r="F565" s="7">
        <v>575000</v>
      </c>
      <c r="G565" s="5"/>
    </row>
    <row r="566" spans="1:7" ht="14.45">
      <c r="A566" s="1" t="s">
        <v>658</v>
      </c>
      <c r="B566" s="1" t="s">
        <v>16</v>
      </c>
      <c r="C566" s="1" t="s">
        <v>39</v>
      </c>
      <c r="D566" s="1">
        <v>6</v>
      </c>
      <c r="E566" s="1">
        <f t="shared" si="12"/>
        <v>12</v>
      </c>
      <c r="F566" s="7">
        <v>575000</v>
      </c>
      <c r="G566" s="5"/>
    </row>
    <row r="567" spans="1:7" ht="14.45">
      <c r="A567" s="1" t="s">
        <v>659</v>
      </c>
      <c r="B567" s="1" t="s">
        <v>20</v>
      </c>
      <c r="C567" s="1" t="s">
        <v>42</v>
      </c>
      <c r="D567" s="1">
        <v>7</v>
      </c>
      <c r="E567" s="1">
        <f t="shared" si="12"/>
        <v>14</v>
      </c>
      <c r="F567" s="7">
        <v>575000</v>
      </c>
      <c r="G567" s="5"/>
    </row>
    <row r="568" spans="1:7" ht="14.45">
      <c r="A568" s="1" t="s">
        <v>660</v>
      </c>
      <c r="B568" s="1" t="s">
        <v>18</v>
      </c>
      <c r="C568" s="1" t="s">
        <v>40</v>
      </c>
      <c r="D568" s="1">
        <v>8</v>
      </c>
      <c r="E568" s="1">
        <v>14</v>
      </c>
      <c r="F568" s="7">
        <v>575000</v>
      </c>
      <c r="G568" s="5"/>
    </row>
    <row r="569" spans="1:7" ht="14.45">
      <c r="A569" s="1" t="s">
        <v>661</v>
      </c>
      <c r="B569" s="1" t="s">
        <v>3</v>
      </c>
      <c r="C569" s="1" t="s">
        <v>39</v>
      </c>
      <c r="D569" s="1">
        <v>11</v>
      </c>
      <c r="E569" s="1">
        <f t="shared" ref="E569:E632" si="13">D569*2</f>
        <v>22</v>
      </c>
      <c r="F569" s="7">
        <v>575000</v>
      </c>
      <c r="G569" s="5"/>
    </row>
    <row r="570" spans="1:7" ht="14.45">
      <c r="A570" s="1" t="s">
        <v>662</v>
      </c>
      <c r="B570" s="1" t="s">
        <v>3</v>
      </c>
      <c r="C570" s="1" t="s">
        <v>40</v>
      </c>
      <c r="D570" s="1">
        <v>7</v>
      </c>
      <c r="E570" s="1">
        <f t="shared" si="13"/>
        <v>14</v>
      </c>
      <c r="F570" s="7">
        <v>575000</v>
      </c>
      <c r="G570" s="5"/>
    </row>
    <row r="571" spans="1:7" ht="14.45">
      <c r="A571" s="1" t="s">
        <v>663</v>
      </c>
      <c r="B571" s="1" t="s">
        <v>32</v>
      </c>
      <c r="C571" s="1" t="s">
        <v>40</v>
      </c>
      <c r="D571" s="1">
        <v>6</v>
      </c>
      <c r="E571" s="1">
        <f t="shared" si="13"/>
        <v>12</v>
      </c>
      <c r="F571" s="7">
        <v>574700</v>
      </c>
      <c r="G571" s="5"/>
    </row>
    <row r="572" spans="1:7" ht="14.45">
      <c r="A572" s="1" t="s">
        <v>664</v>
      </c>
      <c r="B572" s="1" t="s">
        <v>14</v>
      </c>
      <c r="C572" s="1" t="s">
        <v>40</v>
      </c>
      <c r="D572" s="1">
        <v>5</v>
      </c>
      <c r="E572" s="1">
        <f t="shared" si="13"/>
        <v>10</v>
      </c>
      <c r="F572" s="7">
        <v>574000</v>
      </c>
      <c r="G572" s="5"/>
    </row>
    <row r="573" spans="1:7" ht="14.45">
      <c r="A573" s="1" t="s">
        <v>665</v>
      </c>
      <c r="B573" s="1" t="s">
        <v>14</v>
      </c>
      <c r="C573" s="1" t="s">
        <v>40</v>
      </c>
      <c r="D573" s="1">
        <v>4</v>
      </c>
      <c r="E573" s="1">
        <f t="shared" si="13"/>
        <v>8</v>
      </c>
      <c r="F573" s="7">
        <v>573500</v>
      </c>
      <c r="G573" s="5"/>
    </row>
    <row r="574" spans="1:7" ht="14.45">
      <c r="A574" s="1" t="s">
        <v>666</v>
      </c>
      <c r="B574" s="1" t="s">
        <v>14</v>
      </c>
      <c r="C574" s="1" t="s">
        <v>43</v>
      </c>
      <c r="D574" s="1">
        <v>2</v>
      </c>
      <c r="E574" s="1">
        <f t="shared" si="13"/>
        <v>4</v>
      </c>
      <c r="F574" s="7">
        <v>573500</v>
      </c>
      <c r="G574" s="5"/>
    </row>
    <row r="575" spans="1:7" ht="14.45">
      <c r="A575" s="1" t="s">
        <v>667</v>
      </c>
      <c r="B575" s="1" t="s">
        <v>24</v>
      </c>
      <c r="C575" s="1" t="s">
        <v>40</v>
      </c>
      <c r="D575" s="1">
        <v>3</v>
      </c>
      <c r="E575" s="1">
        <f t="shared" si="13"/>
        <v>6</v>
      </c>
      <c r="F575" s="7">
        <v>573000</v>
      </c>
      <c r="G575" s="5"/>
    </row>
    <row r="576" spans="1:7" ht="14.45">
      <c r="A576" s="1" t="s">
        <v>668</v>
      </c>
      <c r="B576" s="1" t="s">
        <v>25</v>
      </c>
      <c r="C576" s="1" t="s">
        <v>38</v>
      </c>
      <c r="D576" s="1">
        <v>4</v>
      </c>
      <c r="E576" s="1">
        <f t="shared" si="13"/>
        <v>8</v>
      </c>
      <c r="F576" s="7">
        <v>572500</v>
      </c>
      <c r="G576" s="5"/>
    </row>
    <row r="577" spans="1:7" ht="14.45">
      <c r="A577" s="1" t="s">
        <v>669</v>
      </c>
      <c r="B577" s="1" t="s">
        <v>19</v>
      </c>
      <c r="C577" s="1" t="s">
        <v>39</v>
      </c>
      <c r="D577" s="1">
        <v>9</v>
      </c>
      <c r="E577" s="1">
        <f t="shared" si="13"/>
        <v>18</v>
      </c>
      <c r="F577" s="7">
        <v>572400</v>
      </c>
      <c r="G577" s="5"/>
    </row>
    <row r="578" spans="1:7" ht="14.45">
      <c r="A578" s="1" t="s">
        <v>670</v>
      </c>
      <c r="B578" s="1" t="s">
        <v>19</v>
      </c>
      <c r="C578" s="1" t="s">
        <v>40</v>
      </c>
      <c r="D578" s="1">
        <v>6</v>
      </c>
      <c r="E578" s="1">
        <f t="shared" si="13"/>
        <v>12</v>
      </c>
      <c r="F578" s="7">
        <v>572000</v>
      </c>
      <c r="G578" s="5"/>
    </row>
    <row r="579" spans="1:7" ht="14.45">
      <c r="A579" s="1" t="s">
        <v>671</v>
      </c>
      <c r="B579" s="1" t="s">
        <v>25</v>
      </c>
      <c r="C579" s="1" t="s">
        <v>39</v>
      </c>
      <c r="D579" s="1">
        <v>3</v>
      </c>
      <c r="E579" s="1">
        <f t="shared" si="13"/>
        <v>6</v>
      </c>
      <c r="F579" s="7">
        <v>571000</v>
      </c>
      <c r="G579" s="5"/>
    </row>
    <row r="580" spans="1:7" ht="14.45">
      <c r="A580" s="1" t="s">
        <v>672</v>
      </c>
      <c r="B580" s="1" t="s">
        <v>25</v>
      </c>
      <c r="C580" s="1" t="s">
        <v>40</v>
      </c>
      <c r="D580" s="1">
        <v>4</v>
      </c>
      <c r="E580" s="1">
        <f t="shared" si="13"/>
        <v>8</v>
      </c>
      <c r="F580" s="7">
        <v>571000</v>
      </c>
      <c r="G580" s="5"/>
    </row>
    <row r="581" spans="1:7" ht="14.45">
      <c r="A581" s="1" t="s">
        <v>673</v>
      </c>
      <c r="B581" s="1" t="s">
        <v>25</v>
      </c>
      <c r="C581" s="1" t="s">
        <v>40</v>
      </c>
      <c r="D581" s="1">
        <v>8</v>
      </c>
      <c r="E581" s="1">
        <f t="shared" si="13"/>
        <v>16</v>
      </c>
      <c r="F581" s="7">
        <v>571000</v>
      </c>
      <c r="G581" s="5"/>
    </row>
    <row r="582" spans="1:7" ht="14.45">
      <c r="A582" s="1" t="s">
        <v>674</v>
      </c>
      <c r="B582" s="1" t="s">
        <v>22</v>
      </c>
      <c r="C582" s="1" t="s">
        <v>40</v>
      </c>
      <c r="D582" s="1">
        <v>8</v>
      </c>
      <c r="E582" s="1">
        <f t="shared" si="13"/>
        <v>16</v>
      </c>
      <c r="F582" s="7">
        <v>570800</v>
      </c>
      <c r="G582" s="5"/>
    </row>
    <row r="583" spans="1:7" ht="14.45">
      <c r="A583" s="1" t="s">
        <v>675</v>
      </c>
      <c r="B583" s="1" t="s">
        <v>28</v>
      </c>
      <c r="C583" s="1" t="s">
        <v>40</v>
      </c>
      <c r="D583" s="1">
        <v>7</v>
      </c>
      <c r="E583" s="1">
        <f t="shared" si="13"/>
        <v>14</v>
      </c>
      <c r="F583" s="7">
        <v>570800</v>
      </c>
      <c r="G583" s="5"/>
    </row>
    <row r="584" spans="1:7" ht="14.45">
      <c r="A584" s="1" t="s">
        <v>676</v>
      </c>
      <c r="B584" s="1" t="s">
        <v>7</v>
      </c>
      <c r="C584" s="1" t="s">
        <v>40</v>
      </c>
      <c r="D584" s="1">
        <v>5</v>
      </c>
      <c r="E584" s="1">
        <f t="shared" si="13"/>
        <v>10</v>
      </c>
      <c r="F584" s="7">
        <v>570750</v>
      </c>
      <c r="G584" s="5"/>
    </row>
    <row r="585" spans="1:7" ht="14.45">
      <c r="A585" s="1" t="s">
        <v>677</v>
      </c>
      <c r="B585" s="1" t="s">
        <v>25</v>
      </c>
      <c r="C585" s="1" t="s">
        <v>40</v>
      </c>
      <c r="D585" s="1">
        <v>4</v>
      </c>
      <c r="E585" s="1">
        <f t="shared" si="13"/>
        <v>8</v>
      </c>
      <c r="F585" s="7">
        <v>570500</v>
      </c>
      <c r="G585" s="5"/>
    </row>
    <row r="586" spans="1:7" ht="14.45">
      <c r="A586" s="1" t="s">
        <v>678</v>
      </c>
      <c r="B586" s="1" t="s">
        <v>25</v>
      </c>
      <c r="C586" s="1" t="s">
        <v>40</v>
      </c>
      <c r="D586" s="1">
        <v>3</v>
      </c>
      <c r="E586" s="1">
        <f t="shared" si="13"/>
        <v>6</v>
      </c>
      <c r="F586" s="7">
        <v>570500</v>
      </c>
      <c r="G586" s="5"/>
    </row>
    <row r="587" spans="1:7" ht="14.45">
      <c r="A587" s="1" t="s">
        <v>679</v>
      </c>
      <c r="B587" s="1" t="s">
        <v>29</v>
      </c>
      <c r="C587" s="1" t="s">
        <v>39</v>
      </c>
      <c r="D587" s="1">
        <v>3</v>
      </c>
      <c r="E587" s="1">
        <f t="shared" si="13"/>
        <v>6</v>
      </c>
      <c r="F587" s="7">
        <v>570100</v>
      </c>
      <c r="G587" s="5"/>
    </row>
    <row r="588" spans="1:7" ht="14.45">
      <c r="A588" s="1" t="s">
        <v>680</v>
      </c>
      <c r="B588" s="1" t="s">
        <v>7</v>
      </c>
      <c r="C588" s="1" t="s">
        <v>39</v>
      </c>
      <c r="D588" s="1">
        <v>2</v>
      </c>
      <c r="E588" s="1">
        <f t="shared" si="13"/>
        <v>4</v>
      </c>
      <c r="F588" s="7">
        <v>570000</v>
      </c>
      <c r="G588" s="5"/>
    </row>
    <row r="589" spans="1:7" ht="14.45">
      <c r="A589" s="1" t="s">
        <v>681</v>
      </c>
      <c r="B589" s="1" t="s">
        <v>20</v>
      </c>
      <c r="C589" s="1" t="s">
        <v>40</v>
      </c>
      <c r="D589" s="1">
        <v>5</v>
      </c>
      <c r="E589" s="1">
        <f t="shared" si="13"/>
        <v>10</v>
      </c>
      <c r="F589" s="7">
        <v>570000</v>
      </c>
      <c r="G589" s="5"/>
    </row>
    <row r="590" spans="1:7" ht="14.45">
      <c r="A590" s="1" t="s">
        <v>682</v>
      </c>
      <c r="B590" s="1" t="s">
        <v>9</v>
      </c>
      <c r="C590" s="1" t="s">
        <v>42</v>
      </c>
      <c r="D590" s="1">
        <v>7</v>
      </c>
      <c r="E590" s="1">
        <f t="shared" si="13"/>
        <v>14</v>
      </c>
      <c r="F590" s="7">
        <v>570000</v>
      </c>
      <c r="G590" s="5"/>
    </row>
    <row r="591" spans="1:7" ht="14.45">
      <c r="A591" s="1" t="s">
        <v>683</v>
      </c>
      <c r="B591" s="1" t="s">
        <v>8</v>
      </c>
      <c r="C591" s="1" t="s">
        <v>37</v>
      </c>
      <c r="D591" s="1">
        <v>3</v>
      </c>
      <c r="E591" s="1">
        <f t="shared" si="13"/>
        <v>6</v>
      </c>
      <c r="F591" s="7">
        <v>570000</v>
      </c>
      <c r="G591" s="5"/>
    </row>
    <row r="592" spans="1:7" ht="14.45">
      <c r="A592" s="1" t="s">
        <v>684</v>
      </c>
      <c r="B592" s="1" t="s">
        <v>29</v>
      </c>
      <c r="C592" s="1" t="s">
        <v>43</v>
      </c>
      <c r="D592" s="1">
        <v>7</v>
      </c>
      <c r="E592" s="1">
        <f t="shared" si="13"/>
        <v>14</v>
      </c>
      <c r="F592" s="7">
        <v>569600</v>
      </c>
      <c r="G592" s="5"/>
    </row>
    <row r="593" spans="1:7" ht="14.45">
      <c r="A593" s="1" t="s">
        <v>685</v>
      </c>
      <c r="B593" s="1" t="s">
        <v>25</v>
      </c>
      <c r="C593" s="1" t="s">
        <v>40</v>
      </c>
      <c r="D593" s="1">
        <v>7</v>
      </c>
      <c r="E593" s="1">
        <f t="shared" si="13"/>
        <v>14</v>
      </c>
      <c r="F593" s="7">
        <v>569500</v>
      </c>
      <c r="G593" s="5"/>
    </row>
    <row r="594" spans="1:7" ht="14.45">
      <c r="A594" s="1" t="s">
        <v>686</v>
      </c>
      <c r="B594" s="1" t="s">
        <v>14</v>
      </c>
      <c r="C594" s="1" t="s">
        <v>41</v>
      </c>
      <c r="D594" s="1">
        <v>8</v>
      </c>
      <c r="E594" s="1">
        <f t="shared" si="13"/>
        <v>16</v>
      </c>
      <c r="F594" s="7">
        <v>569500</v>
      </c>
      <c r="G594" s="5"/>
    </row>
    <row r="595" spans="1:7" ht="14.45">
      <c r="A595" s="1" t="s">
        <v>687</v>
      </c>
      <c r="B595" s="1" t="s">
        <v>14</v>
      </c>
      <c r="C595" s="1" t="s">
        <v>39</v>
      </c>
      <c r="D595" s="1">
        <v>4</v>
      </c>
      <c r="E595" s="1">
        <f t="shared" si="13"/>
        <v>8</v>
      </c>
      <c r="F595" s="7">
        <v>568500</v>
      </c>
      <c r="G595" s="5"/>
    </row>
    <row r="596" spans="1:7" ht="14.45">
      <c r="A596" s="1" t="s">
        <v>688</v>
      </c>
      <c r="B596" s="1" t="s">
        <v>31</v>
      </c>
      <c r="C596" s="1" t="s">
        <v>40</v>
      </c>
      <c r="D596" s="1">
        <v>5</v>
      </c>
      <c r="E596" s="1">
        <f t="shared" si="13"/>
        <v>10</v>
      </c>
      <c r="F596" s="7">
        <v>568450</v>
      </c>
      <c r="G596" s="5"/>
    </row>
    <row r="597" spans="1:7" ht="14.45">
      <c r="A597" s="1" t="s">
        <v>689</v>
      </c>
      <c r="B597" s="1" t="s">
        <v>24</v>
      </c>
      <c r="C597" s="1" t="s">
        <v>40</v>
      </c>
      <c r="D597" s="1">
        <v>6</v>
      </c>
      <c r="E597" s="1">
        <f t="shared" si="13"/>
        <v>12</v>
      </c>
      <c r="F597" s="7">
        <v>568000</v>
      </c>
      <c r="G597" s="5"/>
    </row>
    <row r="598" spans="1:7" ht="14.45">
      <c r="A598" s="1" t="s">
        <v>690</v>
      </c>
      <c r="B598" s="1" t="s">
        <v>33</v>
      </c>
      <c r="C598" s="1" t="s">
        <v>40</v>
      </c>
      <c r="D598" s="1">
        <v>2</v>
      </c>
      <c r="E598" s="1">
        <f t="shared" si="13"/>
        <v>4</v>
      </c>
      <c r="F598" s="7">
        <v>567900</v>
      </c>
      <c r="G598" s="5"/>
    </row>
    <row r="599" spans="1:7" ht="14.45">
      <c r="A599" s="1" t="s">
        <v>691</v>
      </c>
      <c r="B599" s="1" t="s">
        <v>13</v>
      </c>
      <c r="C599" s="1" t="s">
        <v>40</v>
      </c>
      <c r="D599" s="1">
        <v>4</v>
      </c>
      <c r="E599" s="1">
        <f t="shared" si="13"/>
        <v>8</v>
      </c>
      <c r="F599" s="7">
        <v>567700</v>
      </c>
      <c r="G599" s="5"/>
    </row>
    <row r="600" spans="1:7" ht="14.45">
      <c r="A600" s="1" t="s">
        <v>692</v>
      </c>
      <c r="B600" s="1" t="s">
        <v>19</v>
      </c>
      <c r="C600" s="1" t="s">
        <v>43</v>
      </c>
      <c r="D600" s="1">
        <v>5</v>
      </c>
      <c r="E600" s="1">
        <f t="shared" si="13"/>
        <v>10</v>
      </c>
      <c r="F600" s="7">
        <v>567400</v>
      </c>
      <c r="G600" s="5"/>
    </row>
    <row r="601" spans="1:7" ht="14.45">
      <c r="A601" s="1" t="s">
        <v>693</v>
      </c>
      <c r="B601" s="1" t="s">
        <v>25</v>
      </c>
      <c r="C601" s="1" t="s">
        <v>40</v>
      </c>
      <c r="D601" s="1">
        <v>6</v>
      </c>
      <c r="E601" s="1">
        <f t="shared" si="13"/>
        <v>12</v>
      </c>
      <c r="F601" s="7">
        <v>567000</v>
      </c>
      <c r="G601" s="5"/>
    </row>
    <row r="602" spans="1:7" ht="14.45">
      <c r="A602" s="1" t="s">
        <v>694</v>
      </c>
      <c r="B602" s="1" t="s">
        <v>26</v>
      </c>
      <c r="C602" s="1" t="s">
        <v>40</v>
      </c>
      <c r="D602" s="1">
        <v>2</v>
      </c>
      <c r="E602" s="1">
        <f t="shared" si="13"/>
        <v>4</v>
      </c>
      <c r="F602" s="7">
        <v>566800</v>
      </c>
      <c r="G602" s="5"/>
    </row>
    <row r="603" spans="1:7" ht="14.45">
      <c r="A603" s="1" t="s">
        <v>695</v>
      </c>
      <c r="B603" s="1" t="s">
        <v>5</v>
      </c>
      <c r="C603" s="1" t="s">
        <v>40</v>
      </c>
      <c r="D603" s="1">
        <v>1</v>
      </c>
      <c r="E603" s="1">
        <f t="shared" si="13"/>
        <v>2</v>
      </c>
      <c r="F603" s="7">
        <v>566500</v>
      </c>
      <c r="G603" s="5"/>
    </row>
    <row r="604" spans="1:7" ht="14.45">
      <c r="A604" s="1" t="s">
        <v>696</v>
      </c>
      <c r="B604" s="1" t="s">
        <v>29</v>
      </c>
      <c r="C604" s="1" t="s">
        <v>40</v>
      </c>
      <c r="D604" s="1">
        <v>8</v>
      </c>
      <c r="E604" s="1">
        <f t="shared" si="13"/>
        <v>16</v>
      </c>
      <c r="F604" s="7">
        <v>565900</v>
      </c>
      <c r="G604" s="5"/>
    </row>
    <row r="605" spans="1:7" ht="14.45">
      <c r="A605" s="1" t="s">
        <v>697</v>
      </c>
      <c r="B605" s="1" t="s">
        <v>3</v>
      </c>
      <c r="C605" s="1" t="s">
        <v>42</v>
      </c>
      <c r="D605" s="1">
        <v>2</v>
      </c>
      <c r="E605" s="1">
        <f t="shared" si="13"/>
        <v>4</v>
      </c>
      <c r="F605" s="7">
        <v>565000</v>
      </c>
      <c r="G605" s="5"/>
    </row>
    <row r="606" spans="1:7" ht="14.45">
      <c r="A606" s="1" t="s">
        <v>698</v>
      </c>
      <c r="B606" s="1" t="s">
        <v>33</v>
      </c>
      <c r="C606" s="1" t="s">
        <v>40</v>
      </c>
      <c r="D606" s="1">
        <v>5</v>
      </c>
      <c r="E606" s="1">
        <f t="shared" si="13"/>
        <v>10</v>
      </c>
      <c r="F606" s="7">
        <v>565000</v>
      </c>
      <c r="G606" s="5"/>
    </row>
    <row r="607" spans="1:7" ht="14.45">
      <c r="A607" s="1" t="s">
        <v>437</v>
      </c>
      <c r="B607" s="1" t="s">
        <v>3</v>
      </c>
      <c r="C607" s="1" t="s">
        <v>40</v>
      </c>
      <c r="D607" s="1">
        <v>2</v>
      </c>
      <c r="E607" s="1">
        <f t="shared" si="13"/>
        <v>4</v>
      </c>
      <c r="F607" s="7">
        <v>565000</v>
      </c>
      <c r="G607" s="5"/>
    </row>
    <row r="608" spans="1:7" ht="14.45">
      <c r="A608" s="1" t="s">
        <v>699</v>
      </c>
      <c r="B608" s="1" t="s">
        <v>3</v>
      </c>
      <c r="C608" s="1" t="s">
        <v>39</v>
      </c>
      <c r="D608" s="1">
        <v>8</v>
      </c>
      <c r="E608" s="1">
        <f t="shared" si="13"/>
        <v>16</v>
      </c>
      <c r="F608" s="7">
        <v>565000</v>
      </c>
      <c r="G608" s="5"/>
    </row>
    <row r="609" spans="1:7" ht="14.45">
      <c r="A609" s="1" t="s">
        <v>700</v>
      </c>
      <c r="B609" s="1" t="s">
        <v>20</v>
      </c>
      <c r="C609" s="1" t="s">
        <v>40</v>
      </c>
      <c r="D609" s="1">
        <v>5</v>
      </c>
      <c r="E609" s="1">
        <f t="shared" si="13"/>
        <v>10</v>
      </c>
      <c r="F609" s="7">
        <v>565000</v>
      </c>
      <c r="G609" s="5"/>
    </row>
    <row r="610" spans="1:7" ht="14.45">
      <c r="A610" s="1" t="s">
        <v>701</v>
      </c>
      <c r="B610" s="1" t="s">
        <v>27</v>
      </c>
      <c r="C610" s="1" t="s">
        <v>40</v>
      </c>
      <c r="D610" s="1">
        <v>2</v>
      </c>
      <c r="E610" s="1">
        <f t="shared" si="13"/>
        <v>4</v>
      </c>
      <c r="F610" s="7">
        <v>565000</v>
      </c>
      <c r="G610" s="5"/>
    </row>
    <row r="611" spans="1:7" ht="14.45">
      <c r="A611" s="1" t="s">
        <v>702</v>
      </c>
      <c r="B611" s="1" t="s">
        <v>8</v>
      </c>
      <c r="C611" s="1" t="s">
        <v>43</v>
      </c>
      <c r="D611" s="1">
        <v>2</v>
      </c>
      <c r="E611" s="1">
        <f t="shared" si="13"/>
        <v>4</v>
      </c>
      <c r="F611" s="7">
        <v>565000</v>
      </c>
      <c r="G611" s="5"/>
    </row>
    <row r="612" spans="1:7" ht="14.45">
      <c r="A612" s="1" t="s">
        <v>703</v>
      </c>
      <c r="B612" s="1" t="s">
        <v>10</v>
      </c>
      <c r="C612" s="1" t="s">
        <v>39</v>
      </c>
      <c r="D612" s="1">
        <v>2</v>
      </c>
      <c r="E612" s="1">
        <f t="shared" si="13"/>
        <v>4</v>
      </c>
      <c r="F612" s="7">
        <v>564800</v>
      </c>
      <c r="G612" s="5"/>
    </row>
    <row r="613" spans="1:7" ht="14.45">
      <c r="A613" s="1" t="s">
        <v>704</v>
      </c>
      <c r="B613" s="1" t="s">
        <v>6</v>
      </c>
      <c r="C613" s="1" t="s">
        <v>43</v>
      </c>
      <c r="D613" s="1">
        <v>5</v>
      </c>
      <c r="E613" s="1">
        <f t="shared" si="13"/>
        <v>10</v>
      </c>
      <c r="F613" s="7">
        <v>564500</v>
      </c>
      <c r="G613" s="5"/>
    </row>
    <row r="614" spans="1:7" ht="14.45">
      <c r="A614" s="1" t="s">
        <v>705</v>
      </c>
      <c r="B614" s="1" t="s">
        <v>21</v>
      </c>
      <c r="C614" s="1" t="s">
        <v>40</v>
      </c>
      <c r="D614" s="1">
        <v>6</v>
      </c>
      <c r="E614" s="1">
        <f t="shared" si="13"/>
        <v>12</v>
      </c>
      <c r="F614" s="7">
        <v>564000</v>
      </c>
      <c r="G614" s="5"/>
    </row>
    <row r="615" spans="1:7" ht="14.45">
      <c r="A615" s="1" t="s">
        <v>706</v>
      </c>
      <c r="B615" s="1" t="s">
        <v>31</v>
      </c>
      <c r="C615" s="1" t="s">
        <v>39</v>
      </c>
      <c r="D615" s="1">
        <v>8</v>
      </c>
      <c r="E615" s="1">
        <f t="shared" si="13"/>
        <v>16</v>
      </c>
      <c r="F615" s="7">
        <v>563560</v>
      </c>
      <c r="G615" s="5"/>
    </row>
    <row r="616" spans="1:7" ht="14.45">
      <c r="A616" s="1" t="s">
        <v>707</v>
      </c>
      <c r="B616" s="1" t="s">
        <v>6</v>
      </c>
      <c r="C616" s="1" t="s">
        <v>36</v>
      </c>
      <c r="D616" s="1">
        <v>4</v>
      </c>
      <c r="E616" s="1">
        <f t="shared" si="13"/>
        <v>8</v>
      </c>
      <c r="F616" s="7">
        <v>563500</v>
      </c>
      <c r="G616" s="5"/>
    </row>
    <row r="617" spans="1:7" ht="14.45">
      <c r="A617" s="1" t="s">
        <v>708</v>
      </c>
      <c r="B617" s="1" t="s">
        <v>21</v>
      </c>
      <c r="C617" s="1" t="s">
        <v>40</v>
      </c>
      <c r="D617" s="1">
        <v>5</v>
      </c>
      <c r="E617" s="1">
        <f t="shared" si="13"/>
        <v>10</v>
      </c>
      <c r="F617" s="7">
        <v>562375</v>
      </c>
      <c r="G617" s="5"/>
    </row>
    <row r="618" spans="1:7" ht="14.45">
      <c r="A618" s="1" t="s">
        <v>709</v>
      </c>
      <c r="B618" s="1" t="s">
        <v>12</v>
      </c>
      <c r="C618" s="1" t="s">
        <v>40</v>
      </c>
      <c r="D618" s="1">
        <v>4</v>
      </c>
      <c r="E618" s="1">
        <f t="shared" si="13"/>
        <v>8</v>
      </c>
      <c r="F618" s="7">
        <v>562000</v>
      </c>
      <c r="G618" s="5"/>
    </row>
    <row r="619" spans="1:7" ht="14.45">
      <c r="A619" s="1" t="s">
        <v>710</v>
      </c>
      <c r="B619" s="1" t="s">
        <v>14</v>
      </c>
      <c r="C619" s="1" t="s">
        <v>39</v>
      </c>
      <c r="D619" s="1">
        <v>3</v>
      </c>
      <c r="E619" s="1">
        <f t="shared" si="13"/>
        <v>6</v>
      </c>
      <c r="F619" s="7">
        <v>561900</v>
      </c>
      <c r="G619" s="5"/>
    </row>
    <row r="620" spans="1:7" ht="14.45">
      <c r="A620" s="1" t="s">
        <v>711</v>
      </c>
      <c r="B620" s="1" t="s">
        <v>32</v>
      </c>
      <c r="C620" s="1" t="s">
        <v>40</v>
      </c>
      <c r="D620" s="1">
        <v>3</v>
      </c>
      <c r="E620" s="1">
        <f t="shared" si="13"/>
        <v>6</v>
      </c>
      <c r="F620" s="7">
        <v>561600</v>
      </c>
      <c r="G620" s="5"/>
    </row>
    <row r="621" spans="1:7" ht="14.45">
      <c r="A621" s="1" t="s">
        <v>712</v>
      </c>
      <c r="B621" s="1" t="s">
        <v>31</v>
      </c>
      <c r="C621" s="1" t="s">
        <v>39</v>
      </c>
      <c r="D621" s="1">
        <v>1</v>
      </c>
      <c r="E621" s="1">
        <f t="shared" si="13"/>
        <v>2</v>
      </c>
      <c r="F621" s="7">
        <v>561500</v>
      </c>
      <c r="G621" s="5"/>
    </row>
    <row r="622" spans="1:7" ht="14.45">
      <c r="A622" s="1" t="s">
        <v>713</v>
      </c>
      <c r="B622" s="1" t="s">
        <v>2</v>
      </c>
      <c r="C622" s="1" t="s">
        <v>42</v>
      </c>
      <c r="D622" s="1">
        <v>2</v>
      </c>
      <c r="E622" s="1">
        <f t="shared" si="13"/>
        <v>4</v>
      </c>
      <c r="F622" s="7">
        <v>561500</v>
      </c>
      <c r="G622" s="5"/>
    </row>
    <row r="623" spans="1:7" ht="14.45">
      <c r="A623" s="1" t="s">
        <v>714</v>
      </c>
      <c r="B623" s="1" t="s">
        <v>27</v>
      </c>
      <c r="C623" s="1" t="s">
        <v>39</v>
      </c>
      <c r="D623" s="1">
        <v>1</v>
      </c>
      <c r="E623" s="1">
        <f t="shared" si="13"/>
        <v>2</v>
      </c>
      <c r="F623" s="7">
        <v>561500</v>
      </c>
      <c r="G623" s="5"/>
    </row>
    <row r="624" spans="1:7" ht="14.45">
      <c r="A624" s="1" t="s">
        <v>715</v>
      </c>
      <c r="B624" s="1" t="s">
        <v>10</v>
      </c>
      <c r="C624" s="1" t="s">
        <v>40</v>
      </c>
      <c r="D624" s="1">
        <v>3</v>
      </c>
      <c r="E624" s="1">
        <f t="shared" si="13"/>
        <v>6</v>
      </c>
      <c r="F624" s="7">
        <v>561500</v>
      </c>
      <c r="G624" s="5"/>
    </row>
    <row r="625" spans="1:7" ht="14.45">
      <c r="A625" s="1" t="s">
        <v>716</v>
      </c>
      <c r="B625" s="1" t="s">
        <v>12</v>
      </c>
      <c r="C625" s="1" t="s">
        <v>40</v>
      </c>
      <c r="D625" s="1">
        <v>4</v>
      </c>
      <c r="E625" s="1">
        <f t="shared" si="13"/>
        <v>8</v>
      </c>
      <c r="F625" s="7">
        <v>561400</v>
      </c>
      <c r="G625" s="5"/>
    </row>
    <row r="626" spans="1:7" ht="14.45">
      <c r="A626" s="1" t="s">
        <v>717</v>
      </c>
      <c r="B626" s="1" t="s">
        <v>24</v>
      </c>
      <c r="C626" s="1" t="s">
        <v>39</v>
      </c>
      <c r="D626" s="1">
        <v>2</v>
      </c>
      <c r="E626" s="1">
        <f t="shared" si="13"/>
        <v>4</v>
      </c>
      <c r="F626" s="7">
        <v>561000</v>
      </c>
      <c r="G626" s="5"/>
    </row>
    <row r="627" spans="1:7" ht="14.45">
      <c r="A627" s="1" t="s">
        <v>718</v>
      </c>
      <c r="B627" s="1" t="s">
        <v>29</v>
      </c>
      <c r="C627" s="1" t="s">
        <v>39</v>
      </c>
      <c r="D627" s="1">
        <v>2</v>
      </c>
      <c r="E627" s="1">
        <f t="shared" si="13"/>
        <v>4</v>
      </c>
      <c r="F627" s="7">
        <v>560400</v>
      </c>
      <c r="G627" s="5"/>
    </row>
    <row r="628" spans="1:7" ht="14.45">
      <c r="A628" s="1" t="s">
        <v>719</v>
      </c>
      <c r="B628" s="1" t="s">
        <v>12</v>
      </c>
      <c r="C628" s="1" t="s">
        <v>39</v>
      </c>
      <c r="D628" s="1">
        <v>4</v>
      </c>
      <c r="E628" s="1">
        <f t="shared" si="13"/>
        <v>8</v>
      </c>
      <c r="F628" s="7">
        <v>560400</v>
      </c>
      <c r="G628" s="5"/>
    </row>
    <row r="629" spans="1:7" ht="14.45">
      <c r="A629" s="1" t="s">
        <v>720</v>
      </c>
      <c r="B629" s="1" t="s">
        <v>33</v>
      </c>
      <c r="C629" s="1" t="s">
        <v>40</v>
      </c>
      <c r="D629" s="1">
        <v>2</v>
      </c>
      <c r="E629" s="1">
        <f t="shared" si="13"/>
        <v>4</v>
      </c>
      <c r="F629" s="7">
        <v>560300</v>
      </c>
      <c r="G629" s="5"/>
    </row>
    <row r="630" spans="1:7" ht="14.45">
      <c r="A630" s="1" t="s">
        <v>721</v>
      </c>
      <c r="B630" s="1" t="s">
        <v>28</v>
      </c>
      <c r="C630" s="1" t="s">
        <v>39</v>
      </c>
      <c r="D630" s="1">
        <v>3</v>
      </c>
      <c r="E630" s="1">
        <f t="shared" si="13"/>
        <v>6</v>
      </c>
      <c r="F630" s="7">
        <v>560200</v>
      </c>
      <c r="G630" s="5"/>
    </row>
    <row r="631" spans="1:7" ht="14.45">
      <c r="A631" s="1" t="s">
        <v>722</v>
      </c>
      <c r="B631" s="1" t="s">
        <v>19</v>
      </c>
      <c r="C631" s="1" t="s">
        <v>36</v>
      </c>
      <c r="D631" s="1">
        <v>6</v>
      </c>
      <c r="E631" s="1">
        <f t="shared" si="13"/>
        <v>12</v>
      </c>
      <c r="F631" s="7">
        <v>560100</v>
      </c>
      <c r="G631" s="5"/>
    </row>
    <row r="632" spans="1:7" ht="14.45">
      <c r="A632" s="1" t="s">
        <v>723</v>
      </c>
      <c r="B632" s="1" t="s">
        <v>24</v>
      </c>
      <c r="C632" s="1" t="s">
        <v>40</v>
      </c>
      <c r="D632" s="1">
        <v>8</v>
      </c>
      <c r="E632" s="1">
        <f t="shared" si="13"/>
        <v>16</v>
      </c>
      <c r="F632" s="7">
        <v>560000</v>
      </c>
      <c r="G632" s="5"/>
    </row>
    <row r="633" spans="1:7" ht="14.45">
      <c r="A633" s="1" t="s">
        <v>724</v>
      </c>
      <c r="B633" s="1" t="s">
        <v>31</v>
      </c>
      <c r="C633" s="1" t="s">
        <v>38</v>
      </c>
      <c r="D633" s="1">
        <v>3</v>
      </c>
      <c r="E633" s="1">
        <f t="shared" ref="E633:E696" si="14">D633*2</f>
        <v>6</v>
      </c>
      <c r="F633" s="7">
        <v>560000</v>
      </c>
      <c r="G633" s="5"/>
    </row>
    <row r="634" spans="1:7" ht="14.45">
      <c r="A634" s="1" t="s">
        <v>725</v>
      </c>
      <c r="B634" s="1" t="s">
        <v>27</v>
      </c>
      <c r="C634" s="1" t="s">
        <v>41</v>
      </c>
      <c r="D634" s="1">
        <v>4</v>
      </c>
      <c r="E634" s="1">
        <f t="shared" si="14"/>
        <v>8</v>
      </c>
      <c r="F634" s="7">
        <v>560000</v>
      </c>
      <c r="G634" s="5"/>
    </row>
    <row r="635" spans="1:7" ht="14.45">
      <c r="A635" s="1" t="s">
        <v>726</v>
      </c>
      <c r="B635" s="1" t="s">
        <v>8</v>
      </c>
      <c r="C635" s="1" t="s">
        <v>36</v>
      </c>
      <c r="D635" s="1">
        <v>8</v>
      </c>
      <c r="E635" s="1">
        <f t="shared" si="14"/>
        <v>16</v>
      </c>
      <c r="F635" s="7">
        <v>560000</v>
      </c>
      <c r="G635" s="5"/>
    </row>
    <row r="636" spans="1:7" ht="14.45">
      <c r="A636" s="1" t="s">
        <v>727</v>
      </c>
      <c r="B636" s="1" t="s">
        <v>8</v>
      </c>
      <c r="C636" s="1" t="s">
        <v>36</v>
      </c>
      <c r="D636" s="1">
        <v>7</v>
      </c>
      <c r="E636" s="1">
        <f t="shared" si="14"/>
        <v>14</v>
      </c>
      <c r="F636" s="7">
        <v>560000</v>
      </c>
      <c r="G636" s="5"/>
    </row>
    <row r="637" spans="1:7" ht="14.45">
      <c r="A637" s="1" t="s">
        <v>728</v>
      </c>
      <c r="B637" s="1" t="s">
        <v>18</v>
      </c>
      <c r="C637" s="1" t="s">
        <v>43</v>
      </c>
      <c r="D637" s="1">
        <v>5</v>
      </c>
      <c r="E637" s="1">
        <f t="shared" si="14"/>
        <v>10</v>
      </c>
      <c r="F637" s="7">
        <v>560000</v>
      </c>
      <c r="G637" s="5"/>
    </row>
    <row r="638" spans="1:7" ht="14.45">
      <c r="A638" s="1" t="s">
        <v>729</v>
      </c>
      <c r="B638" s="1" t="s">
        <v>19</v>
      </c>
      <c r="C638" s="1" t="s">
        <v>42</v>
      </c>
      <c r="D638" s="1">
        <v>4</v>
      </c>
      <c r="E638" s="1">
        <f t="shared" si="14"/>
        <v>8</v>
      </c>
      <c r="F638" s="7">
        <v>559600</v>
      </c>
      <c r="G638" s="5"/>
    </row>
    <row r="639" spans="1:7" ht="14.45">
      <c r="A639" s="1" t="s">
        <v>730</v>
      </c>
      <c r="B639" s="1" t="s">
        <v>22</v>
      </c>
      <c r="C639" s="1" t="s">
        <v>39</v>
      </c>
      <c r="D639" s="1">
        <v>3</v>
      </c>
      <c r="E639" s="1">
        <f t="shared" si="14"/>
        <v>6</v>
      </c>
      <c r="F639" s="7">
        <v>559200</v>
      </c>
      <c r="G639" s="5"/>
    </row>
    <row r="640" spans="1:7" ht="14.45">
      <c r="A640" s="1" t="s">
        <v>731</v>
      </c>
      <c r="B640" s="1" t="s">
        <v>28</v>
      </c>
      <c r="C640" s="1" t="s">
        <v>38</v>
      </c>
      <c r="D640" s="1">
        <v>3</v>
      </c>
      <c r="E640" s="1">
        <f t="shared" si="14"/>
        <v>6</v>
      </c>
      <c r="F640" s="7">
        <v>559200</v>
      </c>
      <c r="G640" s="5"/>
    </row>
    <row r="641" spans="1:7" ht="14.45">
      <c r="A641" s="1" t="s">
        <v>732</v>
      </c>
      <c r="B641" s="1" t="s">
        <v>25</v>
      </c>
      <c r="C641" s="1" t="s">
        <v>36</v>
      </c>
      <c r="D641" s="1">
        <v>2</v>
      </c>
      <c r="E641" s="1">
        <f t="shared" si="14"/>
        <v>4</v>
      </c>
      <c r="F641" s="7">
        <v>559000</v>
      </c>
      <c r="G641" s="5"/>
    </row>
    <row r="642" spans="1:7" ht="14.45">
      <c r="A642" s="1" t="s">
        <v>733</v>
      </c>
      <c r="B642" s="1" t="s">
        <v>15</v>
      </c>
      <c r="C642" s="1" t="s">
        <v>38</v>
      </c>
      <c r="D642" s="1">
        <v>5</v>
      </c>
      <c r="E642" s="1">
        <f t="shared" si="14"/>
        <v>10</v>
      </c>
      <c r="F642" s="7">
        <v>559000</v>
      </c>
      <c r="G642" s="5"/>
    </row>
    <row r="643" spans="1:7" ht="14.45">
      <c r="A643" s="1" t="s">
        <v>734</v>
      </c>
      <c r="B643" s="1" t="s">
        <v>24</v>
      </c>
      <c r="C643" s="1" t="s">
        <v>40</v>
      </c>
      <c r="D643" s="1">
        <v>7</v>
      </c>
      <c r="E643" s="1">
        <f t="shared" si="14"/>
        <v>14</v>
      </c>
      <c r="F643" s="7">
        <v>559000</v>
      </c>
      <c r="G643" s="5"/>
    </row>
    <row r="644" spans="1:7" ht="14.45">
      <c r="A644" s="1" t="s">
        <v>735</v>
      </c>
      <c r="B644" s="1" t="s">
        <v>19</v>
      </c>
      <c r="C644" s="1" t="s">
        <v>40</v>
      </c>
      <c r="D644" s="1">
        <v>3</v>
      </c>
      <c r="E644" s="1">
        <f t="shared" si="14"/>
        <v>6</v>
      </c>
      <c r="F644" s="7">
        <v>558900</v>
      </c>
      <c r="G644" s="5"/>
    </row>
    <row r="645" spans="1:7" ht="14.45">
      <c r="A645" s="1" t="s">
        <v>736</v>
      </c>
      <c r="B645" s="1" t="s">
        <v>22</v>
      </c>
      <c r="C645" s="1" t="s">
        <v>38</v>
      </c>
      <c r="D645" s="1">
        <v>7</v>
      </c>
      <c r="E645" s="1">
        <f t="shared" si="14"/>
        <v>14</v>
      </c>
      <c r="F645" s="7">
        <v>558600</v>
      </c>
      <c r="G645" s="5"/>
    </row>
    <row r="646" spans="1:7" ht="14.45">
      <c r="A646" s="1" t="s">
        <v>737</v>
      </c>
      <c r="B646" s="1" t="s">
        <v>10</v>
      </c>
      <c r="C646" s="1" t="s">
        <v>40</v>
      </c>
      <c r="D646" s="1">
        <v>7</v>
      </c>
      <c r="E646" s="1">
        <f t="shared" si="14"/>
        <v>14</v>
      </c>
      <c r="F646" s="7">
        <v>558500</v>
      </c>
      <c r="G646" s="5"/>
    </row>
    <row r="647" spans="1:7" ht="14.45">
      <c r="A647" s="1" t="s">
        <v>738</v>
      </c>
      <c r="B647" s="1" t="s">
        <v>32</v>
      </c>
      <c r="C647" s="1" t="s">
        <v>36</v>
      </c>
      <c r="D647" s="1">
        <v>8</v>
      </c>
      <c r="E647" s="1">
        <f t="shared" si="14"/>
        <v>16</v>
      </c>
      <c r="F647" s="7">
        <v>558400</v>
      </c>
      <c r="G647" s="5"/>
    </row>
    <row r="648" spans="1:7" ht="14.45">
      <c r="A648" s="1" t="s">
        <v>739</v>
      </c>
      <c r="B648" s="1" t="s">
        <v>30</v>
      </c>
      <c r="C648" s="1" t="s">
        <v>40</v>
      </c>
      <c r="D648" s="1">
        <v>4</v>
      </c>
      <c r="E648" s="1">
        <f t="shared" si="14"/>
        <v>8</v>
      </c>
      <c r="F648" s="7">
        <v>558400</v>
      </c>
      <c r="G648" s="5"/>
    </row>
    <row r="649" spans="1:7" ht="14.45">
      <c r="A649" s="1" t="s">
        <v>740</v>
      </c>
      <c r="B649" s="1" t="s">
        <v>30</v>
      </c>
      <c r="C649" s="1" t="s">
        <v>40</v>
      </c>
      <c r="D649" s="1">
        <v>5</v>
      </c>
      <c r="E649" s="1">
        <f t="shared" si="14"/>
        <v>10</v>
      </c>
      <c r="F649" s="7">
        <v>558200</v>
      </c>
      <c r="G649" s="5"/>
    </row>
    <row r="650" spans="1:7" ht="14.45">
      <c r="A650" s="1" t="s">
        <v>741</v>
      </c>
      <c r="B650" s="1" t="s">
        <v>28</v>
      </c>
      <c r="C650" s="1" t="s">
        <v>39</v>
      </c>
      <c r="D650" s="1">
        <v>6</v>
      </c>
      <c r="E650" s="1">
        <f t="shared" si="14"/>
        <v>12</v>
      </c>
      <c r="F650" s="7">
        <v>558100</v>
      </c>
      <c r="G650" s="5"/>
    </row>
    <row r="651" spans="1:7" ht="14.45">
      <c r="A651" s="1" t="s">
        <v>742</v>
      </c>
      <c r="B651" s="1" t="s">
        <v>21</v>
      </c>
      <c r="C651" s="1" t="s">
        <v>40</v>
      </c>
      <c r="D651" s="1">
        <v>2</v>
      </c>
      <c r="E651" s="1">
        <f t="shared" si="14"/>
        <v>4</v>
      </c>
      <c r="F651" s="7">
        <v>558025</v>
      </c>
      <c r="G651" s="5"/>
    </row>
    <row r="652" spans="1:7" ht="14.45">
      <c r="A652" s="1" t="s">
        <v>743</v>
      </c>
      <c r="B652" s="1" t="s">
        <v>8</v>
      </c>
      <c r="C652" s="1" t="s">
        <v>40</v>
      </c>
      <c r="D652" s="1">
        <v>4</v>
      </c>
      <c r="E652" s="1">
        <f t="shared" si="14"/>
        <v>8</v>
      </c>
      <c r="F652" s="7">
        <v>558000</v>
      </c>
      <c r="G652" s="5"/>
    </row>
    <row r="653" spans="1:7" ht="14.45">
      <c r="A653" s="1" t="s">
        <v>744</v>
      </c>
      <c r="B653" s="1" t="s">
        <v>2</v>
      </c>
      <c r="C653" s="1" t="s">
        <v>36</v>
      </c>
      <c r="D653" s="1">
        <v>5</v>
      </c>
      <c r="E653" s="1">
        <f t="shared" si="14"/>
        <v>10</v>
      </c>
      <c r="F653" s="7">
        <v>558000</v>
      </c>
      <c r="G653" s="5"/>
    </row>
    <row r="654" spans="1:7" ht="14.45">
      <c r="A654" s="1" t="s">
        <v>745</v>
      </c>
      <c r="B654" s="1" t="s">
        <v>27</v>
      </c>
      <c r="C654" s="1" t="s">
        <v>40</v>
      </c>
      <c r="D654" s="1">
        <v>6</v>
      </c>
      <c r="E654" s="1">
        <f t="shared" si="14"/>
        <v>12</v>
      </c>
      <c r="F654" s="7">
        <v>558000</v>
      </c>
      <c r="G654" s="5"/>
    </row>
    <row r="655" spans="1:7" ht="14.45">
      <c r="A655" s="1" t="s">
        <v>746</v>
      </c>
      <c r="B655" s="1" t="s">
        <v>8</v>
      </c>
      <c r="C655" s="1" t="s">
        <v>40</v>
      </c>
      <c r="D655" s="1">
        <v>2</v>
      </c>
      <c r="E655" s="1">
        <f t="shared" si="14"/>
        <v>4</v>
      </c>
      <c r="F655" s="7">
        <v>558000</v>
      </c>
      <c r="G655" s="5"/>
    </row>
    <row r="656" spans="1:7" ht="14.45">
      <c r="A656" s="1" t="s">
        <v>747</v>
      </c>
      <c r="B656" s="1" t="s">
        <v>33</v>
      </c>
      <c r="C656" s="1" t="s">
        <v>41</v>
      </c>
      <c r="D656" s="1">
        <v>1</v>
      </c>
      <c r="E656" s="1">
        <f t="shared" si="14"/>
        <v>2</v>
      </c>
      <c r="F656" s="7">
        <v>557900</v>
      </c>
      <c r="G656" s="5"/>
    </row>
    <row r="657" spans="1:7" ht="14.45">
      <c r="A657" s="1" t="s">
        <v>748</v>
      </c>
      <c r="B657" s="1" t="s">
        <v>25</v>
      </c>
      <c r="C657" s="1" t="s">
        <v>40</v>
      </c>
      <c r="D657" s="1">
        <v>8</v>
      </c>
      <c r="E657" s="1">
        <f t="shared" si="14"/>
        <v>16</v>
      </c>
      <c r="F657" s="7">
        <v>557500</v>
      </c>
      <c r="G657" s="5"/>
    </row>
    <row r="658" spans="1:7" ht="14.45">
      <c r="A658" s="1" t="s">
        <v>749</v>
      </c>
      <c r="B658" s="1" t="s">
        <v>9</v>
      </c>
      <c r="C658" s="1" t="s">
        <v>40</v>
      </c>
      <c r="D658" s="1">
        <v>2</v>
      </c>
      <c r="E658" s="1">
        <f t="shared" si="14"/>
        <v>4</v>
      </c>
      <c r="F658" s="7">
        <v>557500</v>
      </c>
      <c r="G658" s="5"/>
    </row>
    <row r="659" spans="1:7" ht="14.45">
      <c r="A659" s="1" t="s">
        <v>750</v>
      </c>
      <c r="B659" s="1" t="s">
        <v>21</v>
      </c>
      <c r="C659" s="1" t="s">
        <v>36</v>
      </c>
      <c r="D659" s="1">
        <v>5</v>
      </c>
      <c r="E659" s="1">
        <f t="shared" si="14"/>
        <v>10</v>
      </c>
      <c r="F659" s="7">
        <v>557471</v>
      </c>
      <c r="G659" s="5"/>
    </row>
    <row r="660" spans="1:7" ht="14.45">
      <c r="A660" s="1" t="s">
        <v>751</v>
      </c>
      <c r="B660" s="1" t="s">
        <v>19</v>
      </c>
      <c r="C660" s="1" t="s">
        <v>38</v>
      </c>
      <c r="D660" s="1">
        <v>2</v>
      </c>
      <c r="E660" s="1">
        <f t="shared" si="14"/>
        <v>4</v>
      </c>
      <c r="F660" s="7">
        <v>557200</v>
      </c>
      <c r="G660" s="5"/>
    </row>
    <row r="661" spans="1:7" ht="14.45">
      <c r="A661" s="1" t="s">
        <v>752</v>
      </c>
      <c r="B661" s="1" t="s">
        <v>13</v>
      </c>
      <c r="C661" s="1" t="s">
        <v>36</v>
      </c>
      <c r="D661" s="1">
        <v>8</v>
      </c>
      <c r="E661" s="1">
        <f t="shared" si="14"/>
        <v>16</v>
      </c>
      <c r="F661" s="7">
        <v>557100</v>
      </c>
      <c r="G661" s="5"/>
    </row>
    <row r="662" spans="1:7" ht="14.45">
      <c r="A662" s="1" t="s">
        <v>753</v>
      </c>
      <c r="B662" s="1" t="s">
        <v>33</v>
      </c>
      <c r="C662" s="1" t="s">
        <v>40</v>
      </c>
      <c r="D662" s="1">
        <v>5</v>
      </c>
      <c r="E662" s="1">
        <f t="shared" si="14"/>
        <v>10</v>
      </c>
      <c r="F662" s="7">
        <v>557000</v>
      </c>
      <c r="G662" s="5"/>
    </row>
    <row r="663" spans="1:7" ht="14.45">
      <c r="A663" s="1" t="s">
        <v>754</v>
      </c>
      <c r="B663" s="1" t="s">
        <v>25</v>
      </c>
      <c r="C663" s="1" t="s">
        <v>40</v>
      </c>
      <c r="D663" s="1">
        <v>2</v>
      </c>
      <c r="E663" s="1">
        <f t="shared" si="14"/>
        <v>4</v>
      </c>
      <c r="F663" s="7">
        <v>557000</v>
      </c>
      <c r="G663" s="5"/>
    </row>
    <row r="664" spans="1:7" ht="14.45">
      <c r="A664" s="1" t="s">
        <v>755</v>
      </c>
      <c r="B664" s="1" t="s">
        <v>26</v>
      </c>
      <c r="C664" s="1" t="s">
        <v>39</v>
      </c>
      <c r="D664" s="1">
        <v>2</v>
      </c>
      <c r="E664" s="1">
        <f t="shared" si="14"/>
        <v>4</v>
      </c>
      <c r="F664" s="7">
        <v>556900</v>
      </c>
      <c r="G664" s="5"/>
    </row>
    <row r="665" spans="1:7" ht="14.45">
      <c r="A665" s="1" t="s">
        <v>756</v>
      </c>
      <c r="B665" s="1" t="s">
        <v>19</v>
      </c>
      <c r="C665" s="1" t="s">
        <v>40</v>
      </c>
      <c r="D665" s="1">
        <v>2</v>
      </c>
      <c r="E665" s="1">
        <f t="shared" si="14"/>
        <v>4</v>
      </c>
      <c r="F665" s="7">
        <v>556500</v>
      </c>
      <c r="G665" s="5"/>
    </row>
    <row r="666" spans="1:7" ht="14.45">
      <c r="A666" s="1" t="s">
        <v>757</v>
      </c>
      <c r="B666" s="1" t="s">
        <v>25</v>
      </c>
      <c r="C666" s="1" t="s">
        <v>40</v>
      </c>
      <c r="D666" s="1">
        <v>5</v>
      </c>
      <c r="E666" s="1">
        <f t="shared" si="14"/>
        <v>10</v>
      </c>
      <c r="F666" s="7">
        <v>556500</v>
      </c>
      <c r="G666" s="5"/>
    </row>
    <row r="667" spans="1:7" ht="14.45">
      <c r="A667" s="1" t="s">
        <v>758</v>
      </c>
      <c r="B667" s="1" t="s">
        <v>19</v>
      </c>
      <c r="C667" s="1" t="s">
        <v>40</v>
      </c>
      <c r="D667" s="1">
        <v>6</v>
      </c>
      <c r="E667" s="1">
        <f t="shared" si="14"/>
        <v>12</v>
      </c>
      <c r="F667" s="7">
        <v>556500</v>
      </c>
      <c r="G667" s="5"/>
    </row>
    <row r="668" spans="1:7" ht="14.45">
      <c r="A668" s="1" t="s">
        <v>759</v>
      </c>
      <c r="B668" s="1" t="s">
        <v>5</v>
      </c>
      <c r="C668" s="1" t="s">
        <v>39</v>
      </c>
      <c r="D668" s="1">
        <v>8</v>
      </c>
      <c r="E668" s="1">
        <f t="shared" si="14"/>
        <v>16</v>
      </c>
      <c r="F668" s="7">
        <v>556500</v>
      </c>
      <c r="G668" s="5"/>
    </row>
    <row r="669" spans="1:7" ht="14.45">
      <c r="A669" s="1" t="s">
        <v>760</v>
      </c>
      <c r="B669" s="1" t="s">
        <v>25</v>
      </c>
      <c r="C669" s="1" t="s">
        <v>40</v>
      </c>
      <c r="D669" s="1">
        <v>4</v>
      </c>
      <c r="E669" s="1">
        <f t="shared" si="14"/>
        <v>8</v>
      </c>
      <c r="F669" s="7">
        <v>556500</v>
      </c>
      <c r="G669" s="5"/>
    </row>
    <row r="670" spans="1:7" ht="14.45">
      <c r="A670" s="1" t="s">
        <v>761</v>
      </c>
      <c r="B670" s="1" t="s">
        <v>13</v>
      </c>
      <c r="C670" s="1" t="s">
        <v>40</v>
      </c>
      <c r="D670" s="1">
        <v>5</v>
      </c>
      <c r="E670" s="1">
        <f t="shared" si="14"/>
        <v>10</v>
      </c>
      <c r="F670" s="7">
        <v>556400</v>
      </c>
      <c r="G670" s="5"/>
    </row>
    <row r="671" spans="1:7" ht="14.45">
      <c r="A671" s="1" t="s">
        <v>762</v>
      </c>
      <c r="B671" s="1" t="s">
        <v>26</v>
      </c>
      <c r="C671" s="1" t="s">
        <v>39</v>
      </c>
      <c r="D671" s="1">
        <v>4</v>
      </c>
      <c r="E671" s="1">
        <f t="shared" si="14"/>
        <v>8</v>
      </c>
      <c r="F671" s="7">
        <v>556200</v>
      </c>
      <c r="G671" s="5"/>
    </row>
    <row r="672" spans="1:7" ht="14.45">
      <c r="A672" s="1" t="s">
        <v>763</v>
      </c>
      <c r="B672" s="1" t="s">
        <v>5</v>
      </c>
      <c r="C672" s="1" t="s">
        <v>40</v>
      </c>
      <c r="D672" s="1">
        <v>3</v>
      </c>
      <c r="E672" s="1">
        <f t="shared" si="14"/>
        <v>6</v>
      </c>
      <c r="F672" s="7">
        <v>556000</v>
      </c>
      <c r="G672" s="5"/>
    </row>
    <row r="673" spans="1:7" ht="14.45">
      <c r="A673" s="1" t="s">
        <v>764</v>
      </c>
      <c r="B673" s="1" t="s">
        <v>21</v>
      </c>
      <c r="C673" s="1" t="s">
        <v>39</v>
      </c>
      <c r="D673" s="1">
        <v>3</v>
      </c>
      <c r="E673" s="1">
        <f t="shared" si="14"/>
        <v>6</v>
      </c>
      <c r="F673" s="7">
        <v>555968</v>
      </c>
      <c r="G673" s="5"/>
    </row>
    <row r="674" spans="1:7" ht="14.45">
      <c r="A674" s="1" t="s">
        <v>765</v>
      </c>
      <c r="B674" s="1" t="s">
        <v>31</v>
      </c>
      <c r="C674" s="1" t="s">
        <v>40</v>
      </c>
      <c r="D674" s="1">
        <v>1</v>
      </c>
      <c r="E674" s="1">
        <f t="shared" si="14"/>
        <v>2</v>
      </c>
      <c r="F674" s="7">
        <v>555950</v>
      </c>
      <c r="G674" s="5"/>
    </row>
    <row r="675" spans="1:7" ht="14.45">
      <c r="A675" s="1" t="s">
        <v>766</v>
      </c>
      <c r="B675" s="1" t="s">
        <v>26</v>
      </c>
      <c r="C675" s="1" t="s">
        <v>40</v>
      </c>
      <c r="D675" s="1">
        <v>2</v>
      </c>
      <c r="E675" s="1">
        <f t="shared" si="14"/>
        <v>4</v>
      </c>
      <c r="F675" s="7">
        <v>555700</v>
      </c>
      <c r="G675" s="5"/>
    </row>
    <row r="676" spans="1:7" ht="14.45">
      <c r="A676" s="1" t="s">
        <v>767</v>
      </c>
      <c r="B676" s="1" t="s">
        <v>26</v>
      </c>
      <c r="C676" s="1" t="s">
        <v>40</v>
      </c>
      <c r="D676" s="1">
        <v>1</v>
      </c>
      <c r="E676" s="1">
        <f t="shared" si="14"/>
        <v>2</v>
      </c>
      <c r="F676" s="7">
        <v>555600</v>
      </c>
      <c r="G676" s="5"/>
    </row>
    <row r="677" spans="1:7" ht="14.45">
      <c r="A677" s="1" t="s">
        <v>768</v>
      </c>
      <c r="B677" s="1" t="s">
        <v>33</v>
      </c>
      <c r="C677" s="1" t="s">
        <v>40</v>
      </c>
      <c r="D677" s="1">
        <v>3</v>
      </c>
      <c r="E677" s="1">
        <f t="shared" si="14"/>
        <v>6</v>
      </c>
      <c r="F677" s="7">
        <v>555300</v>
      </c>
      <c r="G677" s="5"/>
    </row>
    <row r="678" spans="1:7" ht="14.45">
      <c r="A678" s="1" t="s">
        <v>769</v>
      </c>
      <c r="B678" s="1" t="s">
        <v>3</v>
      </c>
      <c r="C678" s="1" t="s">
        <v>40</v>
      </c>
      <c r="D678" s="1">
        <v>4</v>
      </c>
      <c r="E678" s="1">
        <f t="shared" si="14"/>
        <v>8</v>
      </c>
      <c r="F678" s="7">
        <v>555000</v>
      </c>
      <c r="G678" s="5"/>
    </row>
    <row r="679" spans="1:7" ht="14.45">
      <c r="A679" s="1" t="s">
        <v>770</v>
      </c>
      <c r="B679" s="1" t="s">
        <v>16</v>
      </c>
      <c r="C679" s="1" t="s">
        <v>36</v>
      </c>
      <c r="D679" s="1">
        <v>2</v>
      </c>
      <c r="E679" s="1">
        <f t="shared" si="14"/>
        <v>4</v>
      </c>
      <c r="F679" s="7">
        <v>555000</v>
      </c>
      <c r="G679" s="5"/>
    </row>
    <row r="680" spans="1:7" ht="14.45">
      <c r="A680" s="1" t="s">
        <v>771</v>
      </c>
      <c r="B680" s="1" t="s">
        <v>30</v>
      </c>
      <c r="C680" s="1" t="s">
        <v>40</v>
      </c>
      <c r="D680" s="1">
        <v>2</v>
      </c>
      <c r="E680" s="1">
        <f t="shared" si="14"/>
        <v>4</v>
      </c>
      <c r="F680" s="7">
        <v>555000</v>
      </c>
      <c r="G680" s="5"/>
    </row>
    <row r="681" spans="1:7" ht="14.45">
      <c r="A681" s="1" t="s">
        <v>772</v>
      </c>
      <c r="B681" s="1" t="s">
        <v>18</v>
      </c>
      <c r="C681" s="1" t="s">
        <v>40</v>
      </c>
      <c r="D681" s="1">
        <v>4</v>
      </c>
      <c r="E681" s="1">
        <f t="shared" si="14"/>
        <v>8</v>
      </c>
      <c r="F681" s="7">
        <v>555000</v>
      </c>
      <c r="G681" s="5"/>
    </row>
    <row r="682" spans="1:7" ht="14.45">
      <c r="A682" s="1" t="s">
        <v>773</v>
      </c>
      <c r="B682" s="1" t="s">
        <v>3</v>
      </c>
      <c r="C682" s="1" t="s">
        <v>43</v>
      </c>
      <c r="D682" s="1">
        <v>2</v>
      </c>
      <c r="E682" s="1">
        <f t="shared" si="14"/>
        <v>4</v>
      </c>
      <c r="F682" s="7">
        <v>555000</v>
      </c>
      <c r="G682" s="5"/>
    </row>
    <row r="683" spans="1:7" ht="14.45">
      <c r="A683" s="1" t="s">
        <v>774</v>
      </c>
      <c r="B683" s="1" t="s">
        <v>11</v>
      </c>
      <c r="C683" s="1" t="s">
        <v>40</v>
      </c>
      <c r="D683" s="1">
        <v>3</v>
      </c>
      <c r="E683" s="1">
        <f t="shared" si="14"/>
        <v>6</v>
      </c>
      <c r="F683" s="7">
        <v>555000</v>
      </c>
      <c r="G683" s="5"/>
    </row>
    <row r="684" spans="1:7" ht="14.45">
      <c r="A684" s="1" t="s">
        <v>775</v>
      </c>
      <c r="B684" s="1" t="s">
        <v>8</v>
      </c>
      <c r="C684" s="1" t="s">
        <v>40</v>
      </c>
      <c r="D684" s="1">
        <v>3</v>
      </c>
      <c r="E684" s="1">
        <f t="shared" si="14"/>
        <v>6</v>
      </c>
      <c r="F684" s="7">
        <v>555000</v>
      </c>
      <c r="G684" s="5"/>
    </row>
    <row r="685" spans="1:7" ht="14.45">
      <c r="A685" s="1" t="s">
        <v>776</v>
      </c>
      <c r="B685" s="1" t="s">
        <v>9</v>
      </c>
      <c r="C685" s="1" t="s">
        <v>40</v>
      </c>
      <c r="D685" s="1">
        <v>4</v>
      </c>
      <c r="E685" s="1">
        <f t="shared" si="14"/>
        <v>8</v>
      </c>
      <c r="F685" s="7">
        <v>555000</v>
      </c>
      <c r="G685" s="5"/>
    </row>
    <row r="686" spans="1:7" ht="14.45">
      <c r="A686" s="1" t="s">
        <v>777</v>
      </c>
      <c r="B686" s="1" t="s">
        <v>3</v>
      </c>
      <c r="C686" s="1" t="s">
        <v>40</v>
      </c>
      <c r="D686" s="1">
        <v>6</v>
      </c>
      <c r="E686" s="1">
        <f t="shared" si="14"/>
        <v>12</v>
      </c>
      <c r="F686" s="7">
        <v>555000</v>
      </c>
      <c r="G686" s="5"/>
    </row>
    <row r="687" spans="1:7" ht="14.45">
      <c r="A687" s="1" t="s">
        <v>778</v>
      </c>
      <c r="B687" s="1" t="s">
        <v>3</v>
      </c>
      <c r="C687" s="1" t="s">
        <v>41</v>
      </c>
      <c r="D687" s="1">
        <v>2</v>
      </c>
      <c r="E687" s="1">
        <f t="shared" si="14"/>
        <v>4</v>
      </c>
      <c r="F687" s="7">
        <v>555000</v>
      </c>
      <c r="G687" s="5"/>
    </row>
    <row r="688" spans="1:7" ht="14.45">
      <c r="A688" s="1" t="s">
        <v>779</v>
      </c>
      <c r="B688" s="1" t="s">
        <v>21</v>
      </c>
      <c r="C688" s="1" t="s">
        <v>43</v>
      </c>
      <c r="D688" s="1">
        <v>4</v>
      </c>
      <c r="E688" s="1">
        <f t="shared" si="14"/>
        <v>8</v>
      </c>
      <c r="F688" s="7">
        <v>555000</v>
      </c>
      <c r="G688" s="5"/>
    </row>
    <row r="689" spans="1:7" ht="14.45">
      <c r="A689" s="1" t="s">
        <v>780</v>
      </c>
      <c r="B689" s="1" t="s">
        <v>8</v>
      </c>
      <c r="C689" s="1" t="s">
        <v>40</v>
      </c>
      <c r="D689" s="1">
        <v>6</v>
      </c>
      <c r="E689" s="1">
        <f t="shared" si="14"/>
        <v>12</v>
      </c>
      <c r="F689" s="7">
        <v>555000</v>
      </c>
      <c r="G689" s="5"/>
    </row>
    <row r="690" spans="1:7" ht="14.45">
      <c r="A690" s="1" t="s">
        <v>781</v>
      </c>
      <c r="B690" s="1" t="s">
        <v>16</v>
      </c>
      <c r="C690" s="1" t="s">
        <v>40</v>
      </c>
      <c r="D690" s="1">
        <v>1</v>
      </c>
      <c r="E690" s="1">
        <f t="shared" si="14"/>
        <v>2</v>
      </c>
      <c r="F690" s="7">
        <v>555000</v>
      </c>
      <c r="G690" s="5"/>
    </row>
    <row r="691" spans="1:7" ht="14.45">
      <c r="A691" s="1" t="s">
        <v>782</v>
      </c>
      <c r="B691" s="1" t="s">
        <v>23</v>
      </c>
      <c r="C691" s="1" t="s">
        <v>40</v>
      </c>
      <c r="D691" s="1">
        <v>2</v>
      </c>
      <c r="E691" s="1">
        <f t="shared" si="14"/>
        <v>4</v>
      </c>
      <c r="F691" s="7">
        <v>555000</v>
      </c>
      <c r="G691" s="5"/>
    </row>
    <row r="692" spans="1:7" ht="14.45">
      <c r="A692" s="1" t="s">
        <v>783</v>
      </c>
      <c r="B692" s="1" t="s">
        <v>23</v>
      </c>
      <c r="C692" s="1" t="s">
        <v>40</v>
      </c>
      <c r="D692" s="1">
        <v>3</v>
      </c>
      <c r="E692" s="1">
        <f t="shared" si="14"/>
        <v>6</v>
      </c>
      <c r="F692" s="7">
        <v>555000</v>
      </c>
      <c r="G692" s="5"/>
    </row>
    <row r="693" spans="1:7" ht="14.45">
      <c r="A693" s="1" t="s">
        <v>784</v>
      </c>
      <c r="B693" s="1" t="s">
        <v>16</v>
      </c>
      <c r="C693" s="1" t="s">
        <v>40</v>
      </c>
      <c r="D693" s="1">
        <v>1</v>
      </c>
      <c r="E693" s="1">
        <f t="shared" si="14"/>
        <v>2</v>
      </c>
      <c r="F693" s="7">
        <v>555000</v>
      </c>
      <c r="G693" s="5"/>
    </row>
    <row r="694" spans="1:7" ht="14.45">
      <c r="A694" s="1" t="s">
        <v>785</v>
      </c>
      <c r="B694" s="1" t="s">
        <v>11</v>
      </c>
      <c r="C694" s="1" t="s">
        <v>40</v>
      </c>
      <c r="D694" s="1">
        <v>1</v>
      </c>
      <c r="E694" s="1">
        <f t="shared" si="14"/>
        <v>2</v>
      </c>
      <c r="F694" s="7">
        <v>555000</v>
      </c>
      <c r="G694" s="5"/>
    </row>
    <row r="695" spans="1:7" ht="14.45">
      <c r="A695" s="1" t="s">
        <v>786</v>
      </c>
      <c r="B695" s="1" t="s">
        <v>3</v>
      </c>
      <c r="C695" s="1" t="s">
        <v>40</v>
      </c>
      <c r="D695" s="1">
        <v>3</v>
      </c>
      <c r="E695" s="1">
        <f t="shared" si="14"/>
        <v>6</v>
      </c>
      <c r="F695" s="7">
        <v>555000</v>
      </c>
      <c r="G695" s="5"/>
    </row>
    <row r="696" spans="1:7" ht="14.45">
      <c r="A696" s="1" t="s">
        <v>787</v>
      </c>
      <c r="B696" s="1" t="s">
        <v>3</v>
      </c>
      <c r="C696" s="1" t="s">
        <v>40</v>
      </c>
      <c r="D696" s="1">
        <v>4</v>
      </c>
      <c r="E696" s="1">
        <f t="shared" si="14"/>
        <v>8</v>
      </c>
      <c r="F696" s="7">
        <v>555000</v>
      </c>
      <c r="G696" s="5"/>
    </row>
    <row r="697" spans="1:7" ht="14.45">
      <c r="A697" s="1" t="s">
        <v>788</v>
      </c>
      <c r="B697" s="1" t="s">
        <v>33</v>
      </c>
      <c r="C697" s="1" t="s">
        <v>40</v>
      </c>
      <c r="D697" s="1">
        <v>6</v>
      </c>
      <c r="E697" s="1">
        <f t="shared" ref="E697:E760" si="15">D697*2</f>
        <v>12</v>
      </c>
      <c r="F697" s="7">
        <v>555000</v>
      </c>
      <c r="G697" s="5"/>
    </row>
    <row r="698" spans="1:7" ht="14.45">
      <c r="A698" s="1" t="s">
        <v>789</v>
      </c>
      <c r="B698" s="1" t="s">
        <v>20</v>
      </c>
      <c r="C698" s="1" t="s">
        <v>40</v>
      </c>
      <c r="D698" s="1">
        <v>3</v>
      </c>
      <c r="E698" s="1">
        <f t="shared" si="15"/>
        <v>6</v>
      </c>
      <c r="F698" s="7">
        <v>555000</v>
      </c>
      <c r="G698" s="5"/>
    </row>
    <row r="699" spans="1:7" ht="14.45">
      <c r="A699" s="1" t="s">
        <v>790</v>
      </c>
      <c r="B699" s="1" t="s">
        <v>11</v>
      </c>
      <c r="C699" s="1" t="s">
        <v>42</v>
      </c>
      <c r="D699" s="1">
        <v>1</v>
      </c>
      <c r="E699" s="1">
        <f t="shared" si="15"/>
        <v>2</v>
      </c>
      <c r="F699" s="7">
        <v>555000</v>
      </c>
      <c r="G699" s="5"/>
    </row>
    <row r="700" spans="1:7" ht="14.45">
      <c r="A700" s="1" t="s">
        <v>791</v>
      </c>
      <c r="B700" s="1" t="s">
        <v>11</v>
      </c>
      <c r="C700" s="1" t="s">
        <v>40</v>
      </c>
      <c r="D700" s="1">
        <v>3</v>
      </c>
      <c r="E700" s="1">
        <f t="shared" si="15"/>
        <v>6</v>
      </c>
      <c r="F700" s="7">
        <v>555000</v>
      </c>
      <c r="G700" s="5"/>
    </row>
    <row r="701" spans="1:7" ht="14.45">
      <c r="A701" s="1" t="s">
        <v>792</v>
      </c>
      <c r="B701" s="1" t="s">
        <v>8</v>
      </c>
      <c r="C701" s="1" t="s">
        <v>41</v>
      </c>
      <c r="D701" s="1">
        <v>3</v>
      </c>
      <c r="E701" s="1">
        <f t="shared" si="15"/>
        <v>6</v>
      </c>
      <c r="F701" s="7">
        <v>555000</v>
      </c>
      <c r="G701" s="5"/>
    </row>
    <row r="702" spans="1:7" ht="14.45">
      <c r="A702" s="1" t="s">
        <v>793</v>
      </c>
      <c r="B702" s="1" t="s">
        <v>12</v>
      </c>
      <c r="C702" s="1" t="s">
        <v>40</v>
      </c>
      <c r="D702" s="1">
        <v>4</v>
      </c>
      <c r="E702" s="1">
        <f t="shared" si="15"/>
        <v>8</v>
      </c>
      <c r="F702" s="7">
        <v>554800</v>
      </c>
      <c r="G702" s="5"/>
    </row>
    <row r="703" spans="1:7" ht="14.45">
      <c r="A703" s="1" t="s">
        <v>794</v>
      </c>
      <c r="B703" s="1" t="s">
        <v>29</v>
      </c>
      <c r="C703" s="1" t="s">
        <v>40</v>
      </c>
      <c r="D703" s="1">
        <v>8</v>
      </c>
      <c r="E703" s="1">
        <f t="shared" si="15"/>
        <v>16</v>
      </c>
      <c r="F703" s="7">
        <v>554600</v>
      </c>
      <c r="G703" s="5"/>
    </row>
    <row r="704" spans="1:7" ht="14.45">
      <c r="A704" s="1" t="s">
        <v>795</v>
      </c>
      <c r="B704" s="1" t="s">
        <v>13</v>
      </c>
      <c r="C704" s="1" t="s">
        <v>39</v>
      </c>
      <c r="D704" s="1">
        <v>9</v>
      </c>
      <c r="E704" s="1">
        <f t="shared" si="15"/>
        <v>18</v>
      </c>
      <c r="F704" s="7">
        <v>554400</v>
      </c>
      <c r="G704" s="5"/>
    </row>
    <row r="705" spans="1:7" ht="14.45">
      <c r="A705" s="1" t="s">
        <v>796</v>
      </c>
      <c r="B705" s="1" t="s">
        <v>19</v>
      </c>
      <c r="C705" s="1" t="s">
        <v>40</v>
      </c>
      <c r="D705" s="1">
        <v>6</v>
      </c>
      <c r="E705" s="1">
        <f t="shared" si="15"/>
        <v>12</v>
      </c>
      <c r="F705" s="7">
        <v>554300</v>
      </c>
      <c r="G705" s="5"/>
    </row>
    <row r="706" spans="1:7" ht="14.45">
      <c r="A706" s="1" t="s">
        <v>797</v>
      </c>
      <c r="B706" s="1" t="s">
        <v>14</v>
      </c>
      <c r="C706" s="1" t="s">
        <v>40</v>
      </c>
      <c r="D706" s="1">
        <v>4</v>
      </c>
      <c r="E706" s="1">
        <f t="shared" si="15"/>
        <v>8</v>
      </c>
      <c r="F706" s="7">
        <v>554250</v>
      </c>
      <c r="G706" s="5"/>
    </row>
    <row r="707" spans="1:7" ht="14.45">
      <c r="A707" s="1" t="s">
        <v>798</v>
      </c>
      <c r="B707" s="1" t="s">
        <v>24</v>
      </c>
      <c r="C707" s="1" t="s">
        <v>40</v>
      </c>
      <c r="D707" s="1">
        <v>9</v>
      </c>
      <c r="E707" s="1">
        <f t="shared" si="15"/>
        <v>18</v>
      </c>
      <c r="F707" s="7">
        <v>554000</v>
      </c>
      <c r="G707" s="5"/>
    </row>
    <row r="708" spans="1:7" ht="14.45">
      <c r="A708" s="1" t="s">
        <v>799</v>
      </c>
      <c r="B708" s="1" t="s">
        <v>6</v>
      </c>
      <c r="C708" s="1" t="s">
        <v>42</v>
      </c>
      <c r="D708" s="1">
        <v>6</v>
      </c>
      <c r="E708" s="1">
        <f t="shared" si="15"/>
        <v>12</v>
      </c>
      <c r="F708" s="7">
        <v>554000</v>
      </c>
      <c r="G708" s="5"/>
    </row>
    <row r="709" spans="1:7" ht="14.45">
      <c r="A709" s="1" t="s">
        <v>800</v>
      </c>
      <c r="B709" s="1" t="s">
        <v>33</v>
      </c>
      <c r="C709" s="1" t="s">
        <v>39</v>
      </c>
      <c r="D709" s="1">
        <v>8</v>
      </c>
      <c r="E709" s="1">
        <f t="shared" si="15"/>
        <v>16</v>
      </c>
      <c r="F709" s="7">
        <v>553900</v>
      </c>
      <c r="G709" s="5"/>
    </row>
    <row r="710" spans="1:7" ht="14.45">
      <c r="A710" s="1" t="s">
        <v>801</v>
      </c>
      <c r="B710" s="1" t="s">
        <v>28</v>
      </c>
      <c r="C710" s="1" t="s">
        <v>40</v>
      </c>
      <c r="D710" s="1">
        <v>5</v>
      </c>
      <c r="E710" s="1">
        <f t="shared" si="15"/>
        <v>10</v>
      </c>
      <c r="F710" s="7">
        <v>553900</v>
      </c>
      <c r="G710" s="5"/>
    </row>
    <row r="711" spans="1:7" ht="14.45">
      <c r="A711" s="1" t="s">
        <v>802</v>
      </c>
      <c r="B711" s="1" t="s">
        <v>22</v>
      </c>
      <c r="C711" s="1" t="s">
        <v>40</v>
      </c>
      <c r="D711" s="1">
        <v>4</v>
      </c>
      <c r="E711" s="1">
        <f t="shared" si="15"/>
        <v>8</v>
      </c>
      <c r="F711" s="7">
        <v>553850</v>
      </c>
      <c r="G711" s="5"/>
    </row>
    <row r="712" spans="1:7" ht="14.45">
      <c r="A712" s="1" t="s">
        <v>803</v>
      </c>
      <c r="B712" s="1" t="s">
        <v>26</v>
      </c>
      <c r="C712" s="1" t="s">
        <v>39</v>
      </c>
      <c r="D712" s="1">
        <v>5</v>
      </c>
      <c r="E712" s="1">
        <f t="shared" si="15"/>
        <v>10</v>
      </c>
      <c r="F712" s="7">
        <v>553800</v>
      </c>
      <c r="G712" s="5"/>
    </row>
    <row r="713" spans="1:7" ht="14.45">
      <c r="A713" s="1" t="s">
        <v>804</v>
      </c>
      <c r="B713" s="1" t="s">
        <v>12</v>
      </c>
      <c r="C713" s="1" t="s">
        <v>41</v>
      </c>
      <c r="D713" s="1">
        <v>5</v>
      </c>
      <c r="E713" s="1">
        <f t="shared" si="15"/>
        <v>10</v>
      </c>
      <c r="F713" s="7">
        <v>553600</v>
      </c>
      <c r="G713" s="5"/>
    </row>
    <row r="714" spans="1:7" ht="14.45">
      <c r="A714" s="1" t="s">
        <v>805</v>
      </c>
      <c r="B714" s="1" t="s">
        <v>5</v>
      </c>
      <c r="C714" s="1" t="s">
        <v>40</v>
      </c>
      <c r="D714" s="1">
        <v>6</v>
      </c>
      <c r="E714" s="1">
        <f t="shared" si="15"/>
        <v>12</v>
      </c>
      <c r="F714" s="7">
        <v>553500</v>
      </c>
      <c r="G714" s="5"/>
    </row>
    <row r="715" spans="1:7" ht="14.45">
      <c r="A715" s="1" t="s">
        <v>806</v>
      </c>
      <c r="B715" s="1" t="s">
        <v>21</v>
      </c>
      <c r="C715" s="1" t="s">
        <v>40</v>
      </c>
      <c r="D715" s="1">
        <v>2</v>
      </c>
      <c r="E715" s="1">
        <f t="shared" si="15"/>
        <v>4</v>
      </c>
      <c r="F715" s="7">
        <v>553250</v>
      </c>
      <c r="G715" s="5"/>
    </row>
    <row r="716" spans="1:7" ht="14.45">
      <c r="A716" s="1" t="s">
        <v>807</v>
      </c>
      <c r="B716" s="1" t="s">
        <v>26</v>
      </c>
      <c r="C716" s="1" t="s">
        <v>36</v>
      </c>
      <c r="D716" s="1">
        <v>2</v>
      </c>
      <c r="E716" s="1">
        <f t="shared" si="15"/>
        <v>4</v>
      </c>
      <c r="F716" s="7">
        <v>553100</v>
      </c>
      <c r="G716" s="5"/>
    </row>
    <row r="717" spans="1:7" ht="14.45">
      <c r="A717" s="1" t="s">
        <v>808</v>
      </c>
      <c r="B717" s="1" t="s">
        <v>30</v>
      </c>
      <c r="C717" s="1" t="s">
        <v>39</v>
      </c>
      <c r="D717" s="1">
        <v>2</v>
      </c>
      <c r="E717" s="1">
        <f t="shared" si="15"/>
        <v>4</v>
      </c>
      <c r="F717" s="7">
        <v>553000</v>
      </c>
      <c r="G717" s="5"/>
    </row>
    <row r="718" spans="1:7" ht="14.45">
      <c r="A718" s="1" t="s">
        <v>809</v>
      </c>
      <c r="B718" s="1" t="s">
        <v>5</v>
      </c>
      <c r="C718" s="1" t="s">
        <v>40</v>
      </c>
      <c r="D718" s="1">
        <v>1</v>
      </c>
      <c r="E718" s="1">
        <f t="shared" si="15"/>
        <v>2</v>
      </c>
      <c r="F718" s="7">
        <v>553000</v>
      </c>
      <c r="G718" s="5"/>
    </row>
    <row r="719" spans="1:7" ht="14.45">
      <c r="A719" s="1" t="s">
        <v>810</v>
      </c>
      <c r="B719" s="1" t="s">
        <v>24</v>
      </c>
      <c r="C719" s="1" t="s">
        <v>39</v>
      </c>
      <c r="D719" s="1">
        <v>2</v>
      </c>
      <c r="E719" s="1">
        <f t="shared" si="15"/>
        <v>4</v>
      </c>
      <c r="F719" s="7">
        <v>553000</v>
      </c>
      <c r="G719" s="5"/>
    </row>
    <row r="720" spans="1:7" ht="14.45">
      <c r="A720" s="1" t="s">
        <v>811</v>
      </c>
      <c r="B720" s="1" t="s">
        <v>8</v>
      </c>
      <c r="C720" s="1" t="s">
        <v>39</v>
      </c>
      <c r="D720" s="1">
        <v>2</v>
      </c>
      <c r="E720" s="1">
        <f t="shared" si="15"/>
        <v>4</v>
      </c>
      <c r="F720" s="7">
        <v>553000</v>
      </c>
      <c r="G720" s="5"/>
    </row>
    <row r="721" spans="1:7" ht="14.45">
      <c r="A721" s="1" t="s">
        <v>812</v>
      </c>
      <c r="B721" s="1" t="s">
        <v>26</v>
      </c>
      <c r="C721" s="1" t="s">
        <v>40</v>
      </c>
      <c r="D721" s="1">
        <v>2</v>
      </c>
      <c r="E721" s="1">
        <f t="shared" si="15"/>
        <v>4</v>
      </c>
      <c r="F721" s="7">
        <v>552800</v>
      </c>
      <c r="G721" s="5"/>
    </row>
    <row r="722" spans="1:7" ht="14.45">
      <c r="A722" s="1" t="s">
        <v>813</v>
      </c>
      <c r="B722" s="1" t="s">
        <v>26</v>
      </c>
      <c r="C722" s="1" t="s">
        <v>40</v>
      </c>
      <c r="D722" s="1">
        <v>2</v>
      </c>
      <c r="E722" s="1">
        <f t="shared" si="15"/>
        <v>4</v>
      </c>
      <c r="F722" s="7">
        <v>552700</v>
      </c>
      <c r="G722" s="5"/>
    </row>
    <row r="723" spans="1:7" ht="14.45">
      <c r="A723" s="1" t="s">
        <v>814</v>
      </c>
      <c r="B723" s="1" t="s">
        <v>27</v>
      </c>
      <c r="C723" s="1" t="s">
        <v>40</v>
      </c>
      <c r="D723" s="1">
        <v>2</v>
      </c>
      <c r="E723" s="1">
        <f t="shared" si="15"/>
        <v>4</v>
      </c>
      <c r="F723" s="7">
        <v>552500</v>
      </c>
      <c r="G723" s="5"/>
    </row>
    <row r="724" spans="1:7" ht="14.45">
      <c r="A724" s="1" t="s">
        <v>815</v>
      </c>
      <c r="B724" s="1" t="s">
        <v>24</v>
      </c>
      <c r="C724" s="1" t="s">
        <v>39</v>
      </c>
      <c r="D724" s="1">
        <v>2</v>
      </c>
      <c r="E724" s="1">
        <f t="shared" si="15"/>
        <v>4</v>
      </c>
      <c r="F724" s="7">
        <v>552500</v>
      </c>
      <c r="G724" s="5"/>
    </row>
    <row r="725" spans="1:7" ht="14.45">
      <c r="A725" s="1" t="s">
        <v>816</v>
      </c>
      <c r="B725" s="1" t="s">
        <v>30</v>
      </c>
      <c r="C725" s="1" t="s">
        <v>41</v>
      </c>
      <c r="D725" s="1">
        <v>3</v>
      </c>
      <c r="E725" s="1">
        <f t="shared" si="15"/>
        <v>6</v>
      </c>
      <c r="F725" s="7">
        <v>552500</v>
      </c>
      <c r="G725" s="5"/>
    </row>
    <row r="726" spans="1:7" ht="14.45">
      <c r="A726" s="1" t="s">
        <v>817</v>
      </c>
      <c r="B726" s="1" t="s">
        <v>14</v>
      </c>
      <c r="C726" s="1" t="s">
        <v>40</v>
      </c>
      <c r="D726" s="1">
        <v>1</v>
      </c>
      <c r="E726" s="1">
        <f t="shared" si="15"/>
        <v>2</v>
      </c>
      <c r="F726" s="7">
        <v>552450</v>
      </c>
      <c r="G726" s="5"/>
    </row>
    <row r="727" spans="1:7" ht="14.45">
      <c r="A727" s="1" t="s">
        <v>818</v>
      </c>
      <c r="B727" s="1" t="s">
        <v>31</v>
      </c>
      <c r="C727" s="1" t="s">
        <v>40</v>
      </c>
      <c r="D727" s="1">
        <v>2</v>
      </c>
      <c r="E727" s="1">
        <f t="shared" si="15"/>
        <v>4</v>
      </c>
      <c r="F727" s="7">
        <v>552300</v>
      </c>
      <c r="G727" s="5"/>
    </row>
    <row r="728" spans="1:7" ht="14.45">
      <c r="A728" s="1" t="s">
        <v>819</v>
      </c>
      <c r="B728" s="1" t="s">
        <v>8</v>
      </c>
      <c r="C728" s="1" t="s">
        <v>39</v>
      </c>
      <c r="D728" s="1">
        <v>5</v>
      </c>
      <c r="E728" s="1">
        <f t="shared" si="15"/>
        <v>10</v>
      </c>
      <c r="F728" s="7">
        <v>552000</v>
      </c>
      <c r="G728" s="5"/>
    </row>
    <row r="729" spans="1:7" ht="14.45">
      <c r="A729" s="1" t="s">
        <v>820</v>
      </c>
      <c r="B729" s="1" t="s">
        <v>6</v>
      </c>
      <c r="C729" s="1" t="s">
        <v>40</v>
      </c>
      <c r="D729" s="1">
        <v>4</v>
      </c>
      <c r="E729" s="1">
        <f t="shared" si="15"/>
        <v>8</v>
      </c>
      <c r="F729" s="7">
        <v>552000</v>
      </c>
      <c r="G729" s="5"/>
    </row>
    <row r="730" spans="1:7" ht="14.45">
      <c r="A730" s="1" t="s">
        <v>821</v>
      </c>
      <c r="B730" s="1" t="s">
        <v>8</v>
      </c>
      <c r="C730" s="1" t="s">
        <v>40</v>
      </c>
      <c r="D730" s="1">
        <v>6</v>
      </c>
      <c r="E730" s="1">
        <f t="shared" si="15"/>
        <v>12</v>
      </c>
      <c r="F730" s="7">
        <v>552000</v>
      </c>
      <c r="G730" s="5"/>
    </row>
    <row r="731" spans="1:7" ht="14.45">
      <c r="A731" s="1" t="s">
        <v>822</v>
      </c>
      <c r="B731" s="1" t="s">
        <v>32</v>
      </c>
      <c r="C731" s="1" t="s">
        <v>39</v>
      </c>
      <c r="D731" s="1">
        <v>4</v>
      </c>
      <c r="E731" s="1">
        <f t="shared" si="15"/>
        <v>8</v>
      </c>
      <c r="F731" s="7">
        <v>552000</v>
      </c>
      <c r="G731" s="5"/>
    </row>
    <row r="732" spans="1:7" ht="14.45">
      <c r="A732" s="1" t="s">
        <v>823</v>
      </c>
      <c r="B732" s="1" t="s">
        <v>12</v>
      </c>
      <c r="C732" s="1" t="s">
        <v>40</v>
      </c>
      <c r="D732" s="1">
        <v>5</v>
      </c>
      <c r="E732" s="1">
        <f t="shared" si="15"/>
        <v>10</v>
      </c>
      <c r="F732" s="7">
        <v>552000</v>
      </c>
      <c r="G732" s="5"/>
    </row>
    <row r="733" spans="1:7" ht="14.45">
      <c r="A733" s="1" t="s">
        <v>824</v>
      </c>
      <c r="B733" s="1" t="s">
        <v>33</v>
      </c>
      <c r="C733" s="1" t="s">
        <v>40</v>
      </c>
      <c r="D733" s="1">
        <v>6</v>
      </c>
      <c r="E733" s="1">
        <f t="shared" si="15"/>
        <v>12</v>
      </c>
      <c r="F733" s="7">
        <v>551700</v>
      </c>
      <c r="G733" s="5"/>
    </row>
    <row r="734" spans="1:7" ht="14.45">
      <c r="A734" s="1" t="s">
        <v>825</v>
      </c>
      <c r="B734" s="1" t="s">
        <v>26</v>
      </c>
      <c r="C734" s="1" t="s">
        <v>39</v>
      </c>
      <c r="D734" s="1">
        <v>4</v>
      </c>
      <c r="E734" s="1">
        <f t="shared" si="15"/>
        <v>8</v>
      </c>
      <c r="F734" s="7">
        <v>551600</v>
      </c>
      <c r="G734" s="5"/>
    </row>
    <row r="735" spans="1:7" ht="14.45">
      <c r="A735" s="1" t="s">
        <v>826</v>
      </c>
      <c r="B735" s="1" t="s">
        <v>15</v>
      </c>
      <c r="C735" s="1" t="s">
        <v>40</v>
      </c>
      <c r="D735" s="1">
        <v>5</v>
      </c>
      <c r="E735" s="1">
        <f t="shared" si="15"/>
        <v>10</v>
      </c>
      <c r="F735" s="7">
        <v>551500</v>
      </c>
      <c r="G735" s="5"/>
    </row>
    <row r="736" spans="1:7" ht="14.45">
      <c r="A736" s="1" t="s">
        <v>827</v>
      </c>
      <c r="B736" s="1" t="s">
        <v>12</v>
      </c>
      <c r="C736" s="1" t="s">
        <v>40</v>
      </c>
      <c r="D736" s="1">
        <v>8</v>
      </c>
      <c r="E736" s="1">
        <f t="shared" si="15"/>
        <v>16</v>
      </c>
      <c r="F736" s="7">
        <v>551400</v>
      </c>
      <c r="G736" s="5"/>
    </row>
    <row r="737" spans="1:7" ht="14.45">
      <c r="A737" s="1" t="s">
        <v>828</v>
      </c>
      <c r="B737" s="1" t="s">
        <v>12</v>
      </c>
      <c r="C737" s="1" t="s">
        <v>36</v>
      </c>
      <c r="D737" s="1">
        <v>4</v>
      </c>
      <c r="E737" s="1">
        <f t="shared" si="15"/>
        <v>8</v>
      </c>
      <c r="F737" s="7">
        <v>551300</v>
      </c>
      <c r="G737" s="5"/>
    </row>
    <row r="738" spans="1:7" ht="14.45">
      <c r="A738" s="1" t="s">
        <v>829</v>
      </c>
      <c r="B738" s="1" t="s">
        <v>22</v>
      </c>
      <c r="C738" s="1" t="s">
        <v>39</v>
      </c>
      <c r="D738" s="1">
        <v>6</v>
      </c>
      <c r="E738" s="1">
        <f t="shared" si="15"/>
        <v>12</v>
      </c>
      <c r="F738" s="7">
        <v>551300</v>
      </c>
      <c r="G738" s="5"/>
    </row>
    <row r="739" spans="1:7" ht="14.45">
      <c r="A739" s="1" t="s">
        <v>830</v>
      </c>
      <c r="B739" s="1" t="s">
        <v>10</v>
      </c>
      <c r="C739" s="1" t="s">
        <v>39</v>
      </c>
      <c r="D739" s="1">
        <v>1</v>
      </c>
      <c r="E739" s="1">
        <f t="shared" si="15"/>
        <v>2</v>
      </c>
      <c r="F739" s="7">
        <v>551200</v>
      </c>
      <c r="G739" s="5"/>
    </row>
    <row r="740" spans="1:7" ht="14.45">
      <c r="A740" s="1" t="s">
        <v>831</v>
      </c>
      <c r="B740" s="1" t="s">
        <v>15</v>
      </c>
      <c r="C740" s="1" t="s">
        <v>40</v>
      </c>
      <c r="D740" s="1">
        <v>7</v>
      </c>
      <c r="E740" s="1">
        <f t="shared" si="15"/>
        <v>14</v>
      </c>
      <c r="F740" s="7">
        <v>551000</v>
      </c>
      <c r="G740" s="5"/>
    </row>
    <row r="741" spans="1:7" ht="14.45">
      <c r="A741" s="1" t="s">
        <v>832</v>
      </c>
      <c r="B741" s="1" t="s">
        <v>24</v>
      </c>
      <c r="C741" s="1" t="s">
        <v>40</v>
      </c>
      <c r="D741" s="1">
        <v>8</v>
      </c>
      <c r="E741" s="1">
        <f t="shared" si="15"/>
        <v>16</v>
      </c>
      <c r="F741" s="7">
        <v>551000</v>
      </c>
      <c r="G741" s="5"/>
    </row>
    <row r="742" spans="1:7" ht="14.45">
      <c r="A742" s="1" t="s">
        <v>833</v>
      </c>
      <c r="B742" s="1" t="s">
        <v>29</v>
      </c>
      <c r="C742" s="1" t="s">
        <v>40</v>
      </c>
      <c r="D742" s="1">
        <v>8</v>
      </c>
      <c r="E742" s="1">
        <f t="shared" si="15"/>
        <v>16</v>
      </c>
      <c r="F742" s="7">
        <v>550800</v>
      </c>
      <c r="G742" s="5"/>
    </row>
    <row r="743" spans="1:7" ht="14.45">
      <c r="A743" s="1" t="s">
        <v>834</v>
      </c>
      <c r="B743" s="1" t="s">
        <v>19</v>
      </c>
      <c r="C743" s="1" t="s">
        <v>36</v>
      </c>
      <c r="D743" s="1">
        <v>6</v>
      </c>
      <c r="E743" s="1">
        <f t="shared" si="15"/>
        <v>12</v>
      </c>
      <c r="F743" s="7">
        <v>550700</v>
      </c>
      <c r="G743" s="5"/>
    </row>
    <row r="744" spans="1:7" ht="14.45">
      <c r="A744" s="1" t="s">
        <v>835</v>
      </c>
      <c r="B744" s="1" t="s">
        <v>12</v>
      </c>
      <c r="C744" s="1" t="s">
        <v>40</v>
      </c>
      <c r="D744" s="1">
        <v>8</v>
      </c>
      <c r="E744" s="1">
        <f t="shared" si="15"/>
        <v>16</v>
      </c>
      <c r="F744" s="7">
        <v>550400</v>
      </c>
      <c r="G744" s="5"/>
    </row>
    <row r="745" spans="1:7" ht="14.45">
      <c r="A745" s="1" t="s">
        <v>836</v>
      </c>
      <c r="B745" s="1" t="s">
        <v>28</v>
      </c>
      <c r="C745" s="1" t="s">
        <v>40</v>
      </c>
      <c r="D745" s="1">
        <v>3</v>
      </c>
      <c r="E745" s="1">
        <f t="shared" si="15"/>
        <v>6</v>
      </c>
      <c r="F745" s="7">
        <v>550300</v>
      </c>
      <c r="G745" s="5"/>
    </row>
    <row r="746" spans="1:7" ht="14.45">
      <c r="A746" s="1" t="s">
        <v>837</v>
      </c>
      <c r="B746" s="1" t="s">
        <v>30</v>
      </c>
      <c r="C746" s="1" t="s">
        <v>40</v>
      </c>
      <c r="D746" s="1">
        <v>4</v>
      </c>
      <c r="E746" s="1">
        <f t="shared" si="15"/>
        <v>8</v>
      </c>
      <c r="F746" s="7">
        <v>550200</v>
      </c>
      <c r="G746" s="5"/>
    </row>
    <row r="747" spans="1:7" ht="14.45">
      <c r="A747" s="1" t="s">
        <v>838</v>
      </c>
      <c r="B747" s="1" t="s">
        <v>19</v>
      </c>
      <c r="C747" s="1" t="s">
        <v>40</v>
      </c>
      <c r="D747" s="1">
        <v>8</v>
      </c>
      <c r="E747" s="1">
        <f t="shared" si="15"/>
        <v>16</v>
      </c>
      <c r="F747" s="7">
        <v>550100</v>
      </c>
      <c r="G747" s="5"/>
    </row>
    <row r="748" spans="1:7" ht="14.45">
      <c r="A748" s="1" t="s">
        <v>839</v>
      </c>
      <c r="B748" s="1" t="s">
        <v>26</v>
      </c>
      <c r="C748" s="1" t="s">
        <v>41</v>
      </c>
      <c r="D748" s="1">
        <v>7</v>
      </c>
      <c r="E748" s="1">
        <f t="shared" si="15"/>
        <v>14</v>
      </c>
      <c r="F748" s="7">
        <v>550100</v>
      </c>
      <c r="G748" s="5"/>
    </row>
    <row r="749" spans="1:7" ht="14.45">
      <c r="A749" s="1" t="s">
        <v>840</v>
      </c>
      <c r="B749" s="1" t="s">
        <v>13</v>
      </c>
      <c r="C749" s="1" t="s">
        <v>43</v>
      </c>
      <c r="D749" s="1">
        <v>5</v>
      </c>
      <c r="E749" s="1">
        <f t="shared" si="15"/>
        <v>10</v>
      </c>
      <c r="F749" s="7">
        <v>550100</v>
      </c>
      <c r="G749" s="5"/>
    </row>
    <row r="750" spans="1:7" ht="14.45">
      <c r="A750" s="1" t="s">
        <v>841</v>
      </c>
      <c r="B750" s="1" t="s">
        <v>23</v>
      </c>
      <c r="C750" s="1" t="s">
        <v>40</v>
      </c>
      <c r="D750" s="1">
        <v>4</v>
      </c>
      <c r="E750" s="1">
        <f t="shared" si="15"/>
        <v>8</v>
      </c>
      <c r="F750" s="7">
        <v>550000</v>
      </c>
      <c r="G750" s="5"/>
    </row>
    <row r="751" spans="1:7" ht="14.45">
      <c r="A751" s="1" t="s">
        <v>842</v>
      </c>
      <c r="B751" s="1" t="s">
        <v>11</v>
      </c>
      <c r="C751" s="1" t="s">
        <v>40</v>
      </c>
      <c r="D751" s="1">
        <v>3</v>
      </c>
      <c r="E751" s="1">
        <f t="shared" si="15"/>
        <v>6</v>
      </c>
      <c r="F751" s="7">
        <v>550000</v>
      </c>
      <c r="G751" s="5"/>
    </row>
    <row r="752" spans="1:7" ht="14.45">
      <c r="A752" s="1" t="s">
        <v>843</v>
      </c>
      <c r="B752" s="1" t="s">
        <v>24</v>
      </c>
      <c r="C752" s="1" t="s">
        <v>40</v>
      </c>
      <c r="D752" s="1">
        <v>3</v>
      </c>
      <c r="E752" s="1">
        <f t="shared" si="15"/>
        <v>6</v>
      </c>
      <c r="F752" s="7">
        <v>550000</v>
      </c>
      <c r="G752" s="5"/>
    </row>
    <row r="753" spans="1:7" ht="14.45">
      <c r="A753" s="1" t="s">
        <v>844</v>
      </c>
      <c r="B753" s="1" t="s">
        <v>23</v>
      </c>
      <c r="C753" s="1" t="s">
        <v>36</v>
      </c>
      <c r="D753" s="1">
        <v>2</v>
      </c>
      <c r="E753" s="1">
        <f t="shared" si="15"/>
        <v>4</v>
      </c>
      <c r="F753" s="7">
        <v>550000</v>
      </c>
      <c r="G753" s="5"/>
    </row>
    <row r="754" spans="1:7" ht="14.45">
      <c r="A754" s="1" t="s">
        <v>845</v>
      </c>
      <c r="B754" s="1" t="s">
        <v>11</v>
      </c>
      <c r="C754" s="1" t="s">
        <v>40</v>
      </c>
      <c r="D754" s="1">
        <v>5</v>
      </c>
      <c r="E754" s="1">
        <f t="shared" si="15"/>
        <v>10</v>
      </c>
      <c r="F754" s="7">
        <v>550000</v>
      </c>
      <c r="G754" s="5"/>
    </row>
    <row r="755" spans="1:7" ht="14.45">
      <c r="A755" s="1" t="s">
        <v>846</v>
      </c>
      <c r="B755" s="1" t="s">
        <v>23</v>
      </c>
      <c r="C755" s="1" t="s">
        <v>42</v>
      </c>
      <c r="D755" s="1">
        <v>7</v>
      </c>
      <c r="E755" s="1">
        <f t="shared" si="15"/>
        <v>14</v>
      </c>
      <c r="F755" s="7">
        <v>550000</v>
      </c>
      <c r="G755" s="5"/>
    </row>
    <row r="756" spans="1:7" ht="14.45">
      <c r="A756" s="1" t="s">
        <v>847</v>
      </c>
      <c r="B756" s="1" t="s">
        <v>25</v>
      </c>
      <c r="C756" s="1" t="s">
        <v>43</v>
      </c>
      <c r="D756" s="1">
        <v>3</v>
      </c>
      <c r="E756" s="1">
        <f t="shared" si="15"/>
        <v>6</v>
      </c>
      <c r="F756" s="7">
        <v>550000</v>
      </c>
      <c r="G756" s="5"/>
    </row>
    <row r="757" spans="1:7" ht="14.45">
      <c r="A757" s="1" t="s">
        <v>848</v>
      </c>
      <c r="B757" s="1" t="s">
        <v>23</v>
      </c>
      <c r="C757" s="1" t="s">
        <v>40</v>
      </c>
      <c r="D757" s="1">
        <v>7</v>
      </c>
      <c r="E757" s="1">
        <f t="shared" si="15"/>
        <v>14</v>
      </c>
      <c r="F757" s="7">
        <v>550000</v>
      </c>
      <c r="G757" s="5"/>
    </row>
    <row r="758" spans="1:7" ht="14.45">
      <c r="A758" s="1" t="s">
        <v>849</v>
      </c>
      <c r="B758" s="1" t="s">
        <v>11</v>
      </c>
      <c r="C758" s="1" t="s">
        <v>40</v>
      </c>
      <c r="D758" s="1">
        <v>7</v>
      </c>
      <c r="E758" s="1">
        <f t="shared" si="15"/>
        <v>14</v>
      </c>
      <c r="F758" s="7">
        <v>550000</v>
      </c>
      <c r="G758" s="5"/>
    </row>
    <row r="759" spans="1:7" ht="14.45">
      <c r="A759" s="1" t="s">
        <v>850</v>
      </c>
      <c r="B759" s="1" t="s">
        <v>16</v>
      </c>
      <c r="C759" s="1" t="s">
        <v>40</v>
      </c>
      <c r="D759" s="1">
        <v>8</v>
      </c>
      <c r="E759" s="1">
        <f t="shared" si="15"/>
        <v>16</v>
      </c>
      <c r="F759" s="7">
        <v>550000</v>
      </c>
      <c r="G759" s="5"/>
    </row>
    <row r="760" spans="1:7" ht="14.45">
      <c r="A760" s="1" t="s">
        <v>851</v>
      </c>
      <c r="B760" s="1" t="s">
        <v>23</v>
      </c>
      <c r="C760" s="1" t="s">
        <v>40</v>
      </c>
      <c r="D760" s="1">
        <v>4</v>
      </c>
      <c r="E760" s="1">
        <f t="shared" si="15"/>
        <v>8</v>
      </c>
      <c r="F760" s="7">
        <v>550000</v>
      </c>
      <c r="G760" s="5"/>
    </row>
    <row r="761" spans="1:7" ht="14.45">
      <c r="A761" s="1" t="s">
        <v>852</v>
      </c>
      <c r="B761" s="1" t="s">
        <v>16</v>
      </c>
      <c r="C761" s="1" t="s">
        <v>40</v>
      </c>
      <c r="D761" s="1">
        <v>5</v>
      </c>
      <c r="E761" s="1">
        <f t="shared" ref="E761:E824" si="16">D761*2</f>
        <v>10</v>
      </c>
      <c r="F761" s="7">
        <v>550000</v>
      </c>
      <c r="G761" s="5"/>
    </row>
    <row r="762" spans="1:7" ht="14.45">
      <c r="A762" s="1" t="s">
        <v>853</v>
      </c>
      <c r="B762" s="1" t="s">
        <v>11</v>
      </c>
      <c r="C762" s="1" t="s">
        <v>40</v>
      </c>
      <c r="D762" s="1">
        <v>6</v>
      </c>
      <c r="E762" s="1">
        <f t="shared" si="16"/>
        <v>12</v>
      </c>
      <c r="F762" s="7">
        <v>550000</v>
      </c>
      <c r="G762" s="5"/>
    </row>
    <row r="763" spans="1:7" ht="14.45">
      <c r="A763" s="1" t="s">
        <v>854</v>
      </c>
      <c r="B763" s="1" t="s">
        <v>11</v>
      </c>
      <c r="C763" s="1" t="s">
        <v>42</v>
      </c>
      <c r="D763" s="1">
        <v>2</v>
      </c>
      <c r="E763" s="1">
        <f t="shared" si="16"/>
        <v>4</v>
      </c>
      <c r="F763" s="7">
        <v>550000</v>
      </c>
      <c r="G763" s="5"/>
    </row>
    <row r="764" spans="1:7" ht="14.45">
      <c r="A764" s="1" t="s">
        <v>855</v>
      </c>
      <c r="B764" s="1" t="s">
        <v>27</v>
      </c>
      <c r="C764" s="1" t="s">
        <v>40</v>
      </c>
      <c r="D764" s="1">
        <v>4</v>
      </c>
      <c r="E764" s="1">
        <f t="shared" si="16"/>
        <v>8</v>
      </c>
      <c r="F764" s="7">
        <v>550000</v>
      </c>
      <c r="G764" s="5"/>
    </row>
    <row r="765" spans="1:7" ht="14.45">
      <c r="A765" s="1" t="s">
        <v>856</v>
      </c>
      <c r="B765" s="1" t="s">
        <v>23</v>
      </c>
      <c r="C765" s="1" t="s">
        <v>40</v>
      </c>
      <c r="D765" s="1">
        <v>5</v>
      </c>
      <c r="E765" s="1">
        <f t="shared" si="16"/>
        <v>10</v>
      </c>
      <c r="F765" s="7">
        <v>550000</v>
      </c>
      <c r="G765" s="5"/>
    </row>
    <row r="766" spans="1:7" ht="14.45">
      <c r="A766" s="1" t="s">
        <v>857</v>
      </c>
      <c r="B766" s="1" t="s">
        <v>11</v>
      </c>
      <c r="C766" s="1" t="s">
        <v>36</v>
      </c>
      <c r="D766" s="1">
        <v>6</v>
      </c>
      <c r="E766" s="1">
        <f t="shared" si="16"/>
        <v>12</v>
      </c>
      <c r="F766" s="7">
        <v>550000</v>
      </c>
      <c r="G766" s="5"/>
    </row>
    <row r="767" spans="1:7" ht="14.45">
      <c r="A767" s="1" t="s">
        <v>858</v>
      </c>
      <c r="B767" s="1" t="s">
        <v>16</v>
      </c>
      <c r="C767" s="1" t="s">
        <v>40</v>
      </c>
      <c r="D767" s="1">
        <v>2</v>
      </c>
      <c r="E767" s="1">
        <f t="shared" si="16"/>
        <v>4</v>
      </c>
      <c r="F767" s="7">
        <v>550000</v>
      </c>
      <c r="G767" s="5"/>
    </row>
    <row r="768" spans="1:7" ht="14.45">
      <c r="A768" s="1" t="s">
        <v>859</v>
      </c>
      <c r="B768" s="1" t="s">
        <v>28</v>
      </c>
      <c r="C768" s="1" t="s">
        <v>40</v>
      </c>
      <c r="D768" s="1">
        <v>1</v>
      </c>
      <c r="E768" s="1">
        <f t="shared" si="16"/>
        <v>2</v>
      </c>
      <c r="F768" s="7">
        <v>549900</v>
      </c>
      <c r="G768" s="5"/>
    </row>
    <row r="769" spans="1:7" ht="14.45">
      <c r="A769" s="1" t="s">
        <v>860</v>
      </c>
      <c r="B769" s="1" t="s">
        <v>30</v>
      </c>
      <c r="C769" s="1" t="s">
        <v>40</v>
      </c>
      <c r="D769" s="1">
        <v>8</v>
      </c>
      <c r="E769" s="1">
        <f t="shared" si="16"/>
        <v>16</v>
      </c>
      <c r="F769" s="7">
        <v>549800</v>
      </c>
      <c r="G769" s="5"/>
    </row>
    <row r="770" spans="1:7" ht="14.45">
      <c r="A770" s="1" t="s">
        <v>861</v>
      </c>
      <c r="B770" s="1" t="s">
        <v>24</v>
      </c>
      <c r="C770" s="1" t="s">
        <v>40</v>
      </c>
      <c r="D770" s="1">
        <v>2</v>
      </c>
      <c r="E770" s="1">
        <f t="shared" si="16"/>
        <v>4</v>
      </c>
      <c r="F770" s="7">
        <v>549500</v>
      </c>
      <c r="G770" s="5"/>
    </row>
    <row r="771" spans="1:7" ht="14.45">
      <c r="A771" s="1" t="s">
        <v>862</v>
      </c>
      <c r="B771" s="1" t="s">
        <v>12</v>
      </c>
      <c r="C771" s="1" t="s">
        <v>39</v>
      </c>
      <c r="D771" s="1">
        <v>5</v>
      </c>
      <c r="E771" s="1">
        <f t="shared" si="16"/>
        <v>10</v>
      </c>
      <c r="F771" s="7">
        <v>549400</v>
      </c>
      <c r="G771" s="5"/>
    </row>
    <row r="772" spans="1:7" ht="14.45">
      <c r="A772" s="1" t="s">
        <v>863</v>
      </c>
      <c r="B772" s="1" t="s">
        <v>8</v>
      </c>
      <c r="C772" s="1" t="s">
        <v>40</v>
      </c>
      <c r="D772" s="1">
        <v>2</v>
      </c>
      <c r="E772" s="1">
        <f t="shared" si="16"/>
        <v>4</v>
      </c>
      <c r="F772" s="7">
        <v>549000</v>
      </c>
      <c r="G772" s="5"/>
    </row>
    <row r="773" spans="1:7" ht="14.45">
      <c r="A773" s="1" t="s">
        <v>864</v>
      </c>
      <c r="B773" s="1" t="s">
        <v>5</v>
      </c>
      <c r="C773" s="1" t="s">
        <v>40</v>
      </c>
      <c r="D773" s="1">
        <v>8</v>
      </c>
      <c r="E773" s="1">
        <f t="shared" si="16"/>
        <v>16</v>
      </c>
      <c r="F773" s="7">
        <v>549000</v>
      </c>
      <c r="G773" s="5"/>
    </row>
    <row r="774" spans="1:7" ht="14.45">
      <c r="A774" s="1" t="s">
        <v>865</v>
      </c>
      <c r="B774" s="1" t="s">
        <v>24</v>
      </c>
      <c r="C774" s="1" t="s">
        <v>40</v>
      </c>
      <c r="D774" s="1">
        <v>5</v>
      </c>
      <c r="E774" s="1">
        <f t="shared" si="16"/>
        <v>10</v>
      </c>
      <c r="F774" s="7">
        <v>549000</v>
      </c>
      <c r="G774" s="5"/>
    </row>
    <row r="775" spans="1:7" ht="14.45">
      <c r="A775" s="1" t="s">
        <v>866</v>
      </c>
      <c r="B775" s="1" t="s">
        <v>21</v>
      </c>
      <c r="C775" s="1" t="s">
        <v>42</v>
      </c>
      <c r="D775" s="1">
        <v>2</v>
      </c>
      <c r="E775" s="1">
        <f t="shared" si="16"/>
        <v>4</v>
      </c>
      <c r="F775" s="7">
        <v>548940</v>
      </c>
      <c r="G775" s="5"/>
    </row>
    <row r="776" spans="1:7" ht="14.45">
      <c r="A776" s="1" t="s">
        <v>867</v>
      </c>
      <c r="B776" s="1" t="s">
        <v>12</v>
      </c>
      <c r="C776" s="1" t="s">
        <v>40</v>
      </c>
      <c r="D776" s="1">
        <v>2</v>
      </c>
      <c r="E776" s="1">
        <f t="shared" si="16"/>
        <v>4</v>
      </c>
      <c r="F776" s="7">
        <v>548600</v>
      </c>
      <c r="G776" s="5"/>
    </row>
    <row r="777" spans="1:7" ht="14.45">
      <c r="A777" s="1" t="s">
        <v>868</v>
      </c>
      <c r="B777" s="1" t="s">
        <v>26</v>
      </c>
      <c r="C777" s="1" t="s">
        <v>41</v>
      </c>
      <c r="D777" s="1">
        <v>2</v>
      </c>
      <c r="E777" s="1">
        <f t="shared" si="16"/>
        <v>4</v>
      </c>
      <c r="F777" s="7">
        <v>548500</v>
      </c>
      <c r="G777" s="5"/>
    </row>
    <row r="778" spans="1:7" ht="14.45">
      <c r="A778" s="1" t="s">
        <v>869</v>
      </c>
      <c r="B778" s="1" t="s">
        <v>26</v>
      </c>
      <c r="C778" s="1" t="s">
        <v>43</v>
      </c>
      <c r="D778" s="1">
        <v>5</v>
      </c>
      <c r="E778" s="1">
        <f t="shared" si="16"/>
        <v>10</v>
      </c>
      <c r="F778" s="7">
        <v>548500</v>
      </c>
      <c r="G778" s="5"/>
    </row>
    <row r="779" spans="1:7" ht="14.45">
      <c r="A779" s="1" t="s">
        <v>870</v>
      </c>
      <c r="B779" s="1" t="s">
        <v>15</v>
      </c>
      <c r="C779" s="1" t="s">
        <v>40</v>
      </c>
      <c r="D779" s="1">
        <v>6</v>
      </c>
      <c r="E779" s="1">
        <f t="shared" si="16"/>
        <v>12</v>
      </c>
      <c r="F779" s="7">
        <v>548500</v>
      </c>
      <c r="G779" s="5"/>
    </row>
    <row r="780" spans="1:7" ht="14.45">
      <c r="A780" s="1" t="s">
        <v>871</v>
      </c>
      <c r="B780" s="1" t="s">
        <v>30</v>
      </c>
      <c r="C780" s="1" t="s">
        <v>42</v>
      </c>
      <c r="D780" s="1">
        <v>8</v>
      </c>
      <c r="E780" s="1">
        <f t="shared" si="16"/>
        <v>16</v>
      </c>
      <c r="F780" s="7">
        <v>548300</v>
      </c>
      <c r="G780" s="5"/>
    </row>
    <row r="781" spans="1:7" ht="14.45">
      <c r="A781" s="1" t="s">
        <v>872</v>
      </c>
      <c r="B781" s="1" t="s">
        <v>10</v>
      </c>
      <c r="C781" s="1" t="s">
        <v>43</v>
      </c>
      <c r="D781" s="1">
        <v>4</v>
      </c>
      <c r="E781" s="1">
        <f t="shared" si="16"/>
        <v>8</v>
      </c>
      <c r="F781" s="7">
        <v>548300</v>
      </c>
      <c r="G781" s="5"/>
    </row>
    <row r="782" spans="1:7" ht="14.45">
      <c r="A782" s="1" t="s">
        <v>873</v>
      </c>
      <c r="B782" s="1" t="s">
        <v>12</v>
      </c>
      <c r="C782" s="1" t="s">
        <v>43</v>
      </c>
      <c r="D782" s="1">
        <v>5</v>
      </c>
      <c r="E782" s="1">
        <f t="shared" si="16"/>
        <v>10</v>
      </c>
      <c r="F782" s="7">
        <v>548300</v>
      </c>
      <c r="G782" s="5"/>
    </row>
    <row r="783" spans="1:7" ht="14.45">
      <c r="A783" s="1" t="s">
        <v>874</v>
      </c>
      <c r="B783" s="1" t="s">
        <v>10</v>
      </c>
      <c r="C783" s="1" t="s">
        <v>40</v>
      </c>
      <c r="D783" s="1">
        <v>4</v>
      </c>
      <c r="E783" s="1">
        <f t="shared" si="16"/>
        <v>8</v>
      </c>
      <c r="F783" s="7">
        <v>548300</v>
      </c>
      <c r="G783" s="5"/>
    </row>
    <row r="784" spans="1:7" ht="14.45">
      <c r="A784" s="1" t="s">
        <v>875</v>
      </c>
      <c r="B784" s="1" t="s">
        <v>30</v>
      </c>
      <c r="C784" s="1" t="s">
        <v>40</v>
      </c>
      <c r="D784" s="1">
        <v>3</v>
      </c>
      <c r="E784" s="1">
        <f t="shared" si="16"/>
        <v>6</v>
      </c>
      <c r="F784" s="7">
        <v>548100</v>
      </c>
      <c r="G784" s="5"/>
    </row>
    <row r="785" spans="1:7" ht="14.45">
      <c r="A785" s="1" t="s">
        <v>876</v>
      </c>
      <c r="B785" s="1" t="s">
        <v>24</v>
      </c>
      <c r="C785" s="1" t="s">
        <v>36</v>
      </c>
      <c r="D785" s="1">
        <v>3</v>
      </c>
      <c r="E785" s="1">
        <f t="shared" si="16"/>
        <v>6</v>
      </c>
      <c r="F785" s="7">
        <v>548000</v>
      </c>
      <c r="G785" s="5"/>
    </row>
    <row r="786" spans="1:7" ht="14.45">
      <c r="A786" s="1" t="s">
        <v>877</v>
      </c>
      <c r="B786" s="1" t="s">
        <v>6</v>
      </c>
      <c r="C786" s="1" t="s">
        <v>40</v>
      </c>
      <c r="D786" s="1">
        <v>1</v>
      </c>
      <c r="E786" s="1">
        <f t="shared" si="16"/>
        <v>2</v>
      </c>
      <c r="F786" s="7">
        <v>548000</v>
      </c>
      <c r="G786" s="5"/>
    </row>
    <row r="787" spans="1:7" ht="14.45">
      <c r="A787" s="1" t="s">
        <v>878</v>
      </c>
      <c r="B787" s="1" t="s">
        <v>24</v>
      </c>
      <c r="C787" s="1" t="s">
        <v>40</v>
      </c>
      <c r="D787" s="1">
        <v>2</v>
      </c>
      <c r="E787" s="1">
        <f t="shared" si="16"/>
        <v>4</v>
      </c>
      <c r="F787" s="7">
        <v>548000</v>
      </c>
      <c r="G787" s="5"/>
    </row>
    <row r="788" spans="1:7" ht="14.45">
      <c r="A788" s="1" t="s">
        <v>879</v>
      </c>
      <c r="B788" s="1" t="s">
        <v>31</v>
      </c>
      <c r="C788" s="1" t="s">
        <v>39</v>
      </c>
      <c r="D788" s="1">
        <v>1</v>
      </c>
      <c r="E788" s="1">
        <f t="shared" si="16"/>
        <v>2</v>
      </c>
      <c r="F788" s="7">
        <v>547990</v>
      </c>
      <c r="G788" s="5"/>
    </row>
    <row r="789" spans="1:7" ht="14.45">
      <c r="A789" s="1" t="s">
        <v>880</v>
      </c>
      <c r="B789" s="1" t="s">
        <v>10</v>
      </c>
      <c r="C789" s="1" t="s">
        <v>42</v>
      </c>
      <c r="D789" s="1">
        <v>3</v>
      </c>
      <c r="E789" s="1">
        <f t="shared" si="16"/>
        <v>6</v>
      </c>
      <c r="F789" s="7">
        <v>547800</v>
      </c>
      <c r="G789" s="5"/>
    </row>
    <row r="790" spans="1:7" ht="14.45">
      <c r="A790" s="1" t="s">
        <v>881</v>
      </c>
      <c r="B790" s="1" t="s">
        <v>32</v>
      </c>
      <c r="C790" s="1" t="s">
        <v>41</v>
      </c>
      <c r="D790" s="1">
        <v>4</v>
      </c>
      <c r="E790" s="1">
        <f t="shared" si="16"/>
        <v>8</v>
      </c>
      <c r="F790" s="7">
        <v>547600</v>
      </c>
      <c r="G790" s="5"/>
    </row>
    <row r="791" spans="1:7" ht="14.45">
      <c r="A791" s="1" t="s">
        <v>882</v>
      </c>
      <c r="B791" s="1" t="s">
        <v>9</v>
      </c>
      <c r="C791" s="1" t="s">
        <v>40</v>
      </c>
      <c r="D791" s="1">
        <v>2</v>
      </c>
      <c r="E791" s="1">
        <f t="shared" si="16"/>
        <v>4</v>
      </c>
      <c r="F791" s="7">
        <v>547500</v>
      </c>
      <c r="G791" s="5"/>
    </row>
    <row r="792" spans="1:7" ht="14.45">
      <c r="A792" s="1" t="s">
        <v>883</v>
      </c>
      <c r="B792" s="1" t="s">
        <v>9</v>
      </c>
      <c r="C792" s="1" t="s">
        <v>40</v>
      </c>
      <c r="D792" s="1">
        <v>2</v>
      </c>
      <c r="E792" s="1">
        <f t="shared" si="16"/>
        <v>4</v>
      </c>
      <c r="F792" s="7">
        <v>547500</v>
      </c>
      <c r="G792" s="5"/>
    </row>
    <row r="793" spans="1:7" ht="14.45">
      <c r="A793" s="1" t="s">
        <v>884</v>
      </c>
      <c r="B793" s="1" t="s">
        <v>23</v>
      </c>
      <c r="C793" s="1" t="s">
        <v>39</v>
      </c>
      <c r="D793" s="1">
        <v>4</v>
      </c>
      <c r="E793" s="1">
        <f t="shared" si="16"/>
        <v>8</v>
      </c>
      <c r="F793" s="7">
        <v>547500</v>
      </c>
      <c r="G793" s="5"/>
    </row>
    <row r="794" spans="1:7" ht="14.45">
      <c r="A794" s="1" t="s">
        <v>885</v>
      </c>
      <c r="B794" s="1" t="s">
        <v>9</v>
      </c>
      <c r="C794" s="1" t="s">
        <v>40</v>
      </c>
      <c r="D794" s="1">
        <v>2</v>
      </c>
      <c r="E794" s="1">
        <f t="shared" si="16"/>
        <v>4</v>
      </c>
      <c r="F794" s="7">
        <v>547500</v>
      </c>
      <c r="G794" s="5"/>
    </row>
    <row r="795" spans="1:7" ht="14.45">
      <c r="A795" s="1" t="s">
        <v>886</v>
      </c>
      <c r="B795" s="1" t="s">
        <v>23</v>
      </c>
      <c r="C795" s="1" t="s">
        <v>40</v>
      </c>
      <c r="D795" s="1">
        <v>3</v>
      </c>
      <c r="E795" s="1">
        <f t="shared" si="16"/>
        <v>6</v>
      </c>
      <c r="F795" s="7">
        <v>547500</v>
      </c>
      <c r="G795" s="5"/>
    </row>
    <row r="796" spans="1:7" ht="14.45">
      <c r="A796" s="1" t="s">
        <v>887</v>
      </c>
      <c r="B796" s="1" t="s">
        <v>23</v>
      </c>
      <c r="C796" s="1" t="s">
        <v>40</v>
      </c>
      <c r="D796" s="1">
        <v>3</v>
      </c>
      <c r="E796" s="1">
        <f t="shared" si="16"/>
        <v>6</v>
      </c>
      <c r="F796" s="7">
        <v>547500</v>
      </c>
      <c r="G796" s="5"/>
    </row>
    <row r="797" spans="1:7" ht="14.45">
      <c r="A797" s="1" t="s">
        <v>888</v>
      </c>
      <c r="B797" s="1" t="s">
        <v>23</v>
      </c>
      <c r="C797" s="1" t="s">
        <v>40</v>
      </c>
      <c r="D797" s="1">
        <v>4</v>
      </c>
      <c r="E797" s="1">
        <f t="shared" si="16"/>
        <v>8</v>
      </c>
      <c r="F797" s="7">
        <v>547500</v>
      </c>
      <c r="G797" s="5"/>
    </row>
    <row r="798" spans="1:7" ht="14.45">
      <c r="A798" s="1" t="s">
        <v>889</v>
      </c>
      <c r="B798" s="1" t="s">
        <v>16</v>
      </c>
      <c r="C798" s="1" t="s">
        <v>36</v>
      </c>
      <c r="D798" s="1">
        <v>6</v>
      </c>
      <c r="E798" s="1">
        <f t="shared" si="16"/>
        <v>12</v>
      </c>
      <c r="F798" s="7">
        <v>547500</v>
      </c>
      <c r="G798" s="5"/>
    </row>
    <row r="799" spans="1:7" ht="14.45">
      <c r="A799" s="1" t="s">
        <v>890</v>
      </c>
      <c r="B799" s="1" t="s">
        <v>23</v>
      </c>
      <c r="C799" s="1" t="s">
        <v>43</v>
      </c>
      <c r="D799" s="1">
        <v>2</v>
      </c>
      <c r="E799" s="1">
        <f t="shared" si="16"/>
        <v>4</v>
      </c>
      <c r="F799" s="7">
        <v>547500</v>
      </c>
      <c r="G799" s="5"/>
    </row>
    <row r="800" spans="1:7" ht="14.45">
      <c r="A800" s="1" t="s">
        <v>891</v>
      </c>
      <c r="B800" s="1" t="s">
        <v>23</v>
      </c>
      <c r="C800" s="1" t="s">
        <v>38</v>
      </c>
      <c r="D800" s="1">
        <v>4</v>
      </c>
      <c r="E800" s="1">
        <f t="shared" si="16"/>
        <v>8</v>
      </c>
      <c r="F800" s="7">
        <v>547500</v>
      </c>
      <c r="G800" s="5"/>
    </row>
    <row r="801" spans="1:7" ht="14.45">
      <c r="A801" s="1" t="s">
        <v>892</v>
      </c>
      <c r="B801" s="1" t="s">
        <v>20</v>
      </c>
      <c r="C801" s="1" t="s">
        <v>36</v>
      </c>
      <c r="D801" s="1">
        <v>6</v>
      </c>
      <c r="E801" s="1">
        <f t="shared" si="16"/>
        <v>12</v>
      </c>
      <c r="F801" s="7">
        <v>547500</v>
      </c>
      <c r="G801" s="5"/>
    </row>
    <row r="802" spans="1:7" ht="14.45">
      <c r="A802" s="1" t="s">
        <v>893</v>
      </c>
      <c r="B802" s="1" t="s">
        <v>23</v>
      </c>
      <c r="C802" s="1" t="s">
        <v>40</v>
      </c>
      <c r="D802" s="1">
        <v>1</v>
      </c>
      <c r="E802" s="1">
        <f t="shared" si="16"/>
        <v>2</v>
      </c>
      <c r="F802" s="7">
        <v>547500</v>
      </c>
      <c r="G802" s="5"/>
    </row>
    <row r="803" spans="1:7" ht="14.45">
      <c r="A803" s="1" t="s">
        <v>894</v>
      </c>
      <c r="B803" s="1" t="s">
        <v>7</v>
      </c>
      <c r="C803" s="1" t="s">
        <v>36</v>
      </c>
      <c r="D803" s="1">
        <v>2</v>
      </c>
      <c r="E803" s="1">
        <f t="shared" si="16"/>
        <v>4</v>
      </c>
      <c r="F803" s="7">
        <v>547500</v>
      </c>
      <c r="G803" s="5"/>
    </row>
    <row r="804" spans="1:7" ht="14.45">
      <c r="A804" s="1" t="s">
        <v>895</v>
      </c>
      <c r="B804" s="1" t="s">
        <v>12</v>
      </c>
      <c r="C804" s="1" t="s">
        <v>40</v>
      </c>
      <c r="D804" s="1">
        <v>3</v>
      </c>
      <c r="E804" s="1">
        <f t="shared" si="16"/>
        <v>6</v>
      </c>
      <c r="F804" s="7">
        <v>547200</v>
      </c>
      <c r="G804" s="5"/>
    </row>
    <row r="805" spans="1:7" ht="14.45">
      <c r="A805" s="1" t="s">
        <v>896</v>
      </c>
      <c r="B805" s="1" t="s">
        <v>14</v>
      </c>
      <c r="C805" s="1" t="s">
        <v>41</v>
      </c>
      <c r="D805" s="1">
        <v>1</v>
      </c>
      <c r="E805" s="1">
        <f t="shared" si="16"/>
        <v>2</v>
      </c>
      <c r="F805" s="7">
        <v>547125</v>
      </c>
      <c r="G805" s="5"/>
    </row>
    <row r="806" spans="1:7" ht="14.45">
      <c r="A806" s="1" t="s">
        <v>897</v>
      </c>
      <c r="B806" s="1" t="s">
        <v>6</v>
      </c>
      <c r="C806" s="1" t="s">
        <v>40</v>
      </c>
      <c r="D806" s="1">
        <v>1</v>
      </c>
      <c r="E806" s="1">
        <f t="shared" si="16"/>
        <v>2</v>
      </c>
      <c r="F806" s="7">
        <v>547000</v>
      </c>
      <c r="G806" s="5"/>
    </row>
    <row r="807" spans="1:7" ht="14.45">
      <c r="A807" s="1" t="s">
        <v>898</v>
      </c>
      <c r="B807" s="1" t="s">
        <v>11</v>
      </c>
      <c r="C807" s="1" t="s">
        <v>40</v>
      </c>
      <c r="D807" s="1">
        <v>3</v>
      </c>
      <c r="E807" s="1">
        <f t="shared" si="16"/>
        <v>6</v>
      </c>
      <c r="F807" s="7">
        <v>547000</v>
      </c>
      <c r="G807" s="5"/>
    </row>
    <row r="808" spans="1:7" ht="14.45">
      <c r="A808" s="1" t="s">
        <v>899</v>
      </c>
      <c r="B808" s="1" t="s">
        <v>24</v>
      </c>
      <c r="C808" s="1" t="s">
        <v>36</v>
      </c>
      <c r="D808" s="1">
        <v>4</v>
      </c>
      <c r="E808" s="1">
        <f t="shared" si="16"/>
        <v>8</v>
      </c>
      <c r="F808" s="7">
        <v>547000</v>
      </c>
      <c r="G808" s="5"/>
    </row>
    <row r="809" spans="1:7" ht="14.45">
      <c r="A809" s="1" t="s">
        <v>900</v>
      </c>
      <c r="B809" s="1" t="s">
        <v>11</v>
      </c>
      <c r="C809" s="1" t="s">
        <v>39</v>
      </c>
      <c r="D809" s="1">
        <v>6</v>
      </c>
      <c r="E809" s="1">
        <f t="shared" si="16"/>
        <v>12</v>
      </c>
      <c r="F809" s="7">
        <v>547000</v>
      </c>
      <c r="G809" s="5"/>
    </row>
    <row r="810" spans="1:7" ht="14.45">
      <c r="A810" s="1" t="s">
        <v>901</v>
      </c>
      <c r="B810" s="1" t="s">
        <v>31</v>
      </c>
      <c r="C810" s="1" t="s">
        <v>40</v>
      </c>
      <c r="D810" s="1">
        <v>3</v>
      </c>
      <c r="E810" s="1">
        <f t="shared" si="16"/>
        <v>6</v>
      </c>
      <c r="F810" s="7">
        <v>547000</v>
      </c>
      <c r="G810" s="5"/>
    </row>
    <row r="811" spans="1:7" ht="14.45">
      <c r="A811" s="1" t="s">
        <v>902</v>
      </c>
      <c r="B811" s="1" t="s">
        <v>11</v>
      </c>
      <c r="C811" s="1" t="s">
        <v>38</v>
      </c>
      <c r="D811" s="1">
        <v>1</v>
      </c>
      <c r="E811" s="1">
        <f t="shared" si="16"/>
        <v>2</v>
      </c>
      <c r="F811" s="7">
        <v>547000</v>
      </c>
      <c r="G811" s="5"/>
    </row>
    <row r="812" spans="1:7" ht="14.45">
      <c r="A812" s="1" t="s">
        <v>903</v>
      </c>
      <c r="B812" s="1" t="s">
        <v>30</v>
      </c>
      <c r="C812" s="1" t="s">
        <v>41</v>
      </c>
      <c r="D812" s="1">
        <v>3</v>
      </c>
      <c r="E812" s="1">
        <f t="shared" si="16"/>
        <v>6</v>
      </c>
      <c r="F812" s="7">
        <v>546900</v>
      </c>
      <c r="G812" s="5"/>
    </row>
    <row r="813" spans="1:7" ht="14.45">
      <c r="A813" s="1" t="s">
        <v>904</v>
      </c>
      <c r="B813" s="1" t="s">
        <v>26</v>
      </c>
      <c r="C813" s="1" t="s">
        <v>40</v>
      </c>
      <c r="D813" s="1">
        <v>3</v>
      </c>
      <c r="E813" s="1">
        <f t="shared" si="16"/>
        <v>6</v>
      </c>
      <c r="F813" s="7">
        <v>546900</v>
      </c>
      <c r="G813" s="5"/>
    </row>
    <row r="814" spans="1:7" ht="14.45">
      <c r="A814" s="1" t="s">
        <v>905</v>
      </c>
      <c r="B814" s="1" t="s">
        <v>21</v>
      </c>
      <c r="C814" s="1" t="s">
        <v>38</v>
      </c>
      <c r="D814" s="1">
        <v>4</v>
      </c>
      <c r="E814" s="1">
        <f t="shared" si="16"/>
        <v>8</v>
      </c>
      <c r="F814" s="7">
        <v>546800</v>
      </c>
      <c r="G814" s="5"/>
    </row>
    <row r="815" spans="1:7" ht="14.45">
      <c r="A815" s="1" t="s">
        <v>906</v>
      </c>
      <c r="B815" s="1" t="s">
        <v>14</v>
      </c>
      <c r="C815" s="1" t="s">
        <v>40</v>
      </c>
      <c r="D815" s="1">
        <v>8</v>
      </c>
      <c r="E815" s="1">
        <f t="shared" si="16"/>
        <v>16</v>
      </c>
      <c r="F815" s="7">
        <v>546625</v>
      </c>
      <c r="G815" s="5"/>
    </row>
    <row r="816" spans="1:7" ht="14.45">
      <c r="A816" s="1" t="s">
        <v>907</v>
      </c>
      <c r="B816" s="1" t="s">
        <v>5</v>
      </c>
      <c r="C816" s="1" t="s">
        <v>39</v>
      </c>
      <c r="D816" s="1">
        <v>9</v>
      </c>
      <c r="E816" s="1">
        <f t="shared" si="16"/>
        <v>18</v>
      </c>
      <c r="F816" s="7">
        <v>546500</v>
      </c>
      <c r="G816" s="5"/>
    </row>
    <row r="817" spans="1:7" ht="14.45">
      <c r="A817" s="1" t="s">
        <v>908</v>
      </c>
      <c r="B817" s="1" t="s">
        <v>5</v>
      </c>
      <c r="C817" s="1" t="s">
        <v>36</v>
      </c>
      <c r="D817" s="1">
        <v>6</v>
      </c>
      <c r="E817" s="1">
        <f t="shared" si="16"/>
        <v>12</v>
      </c>
      <c r="F817" s="7">
        <v>546500</v>
      </c>
      <c r="G817" s="5"/>
    </row>
    <row r="818" spans="1:7" ht="14.45">
      <c r="A818" s="1" t="s">
        <v>909</v>
      </c>
      <c r="B818" s="1" t="s">
        <v>26</v>
      </c>
      <c r="C818" s="1" t="s">
        <v>39</v>
      </c>
      <c r="D818" s="1">
        <v>4</v>
      </c>
      <c r="E818" s="1">
        <f t="shared" si="16"/>
        <v>8</v>
      </c>
      <c r="F818" s="7">
        <v>546500</v>
      </c>
      <c r="G818" s="5"/>
    </row>
    <row r="819" spans="1:7" ht="14.45">
      <c r="A819" s="1" t="s">
        <v>910</v>
      </c>
      <c r="B819" s="1" t="s">
        <v>14</v>
      </c>
      <c r="C819" s="1" t="s">
        <v>36</v>
      </c>
      <c r="D819" s="1">
        <v>9</v>
      </c>
      <c r="E819" s="1">
        <f t="shared" si="16"/>
        <v>18</v>
      </c>
      <c r="F819" s="7">
        <v>546400</v>
      </c>
      <c r="G819" s="5"/>
    </row>
    <row r="820" spans="1:7" ht="14.45">
      <c r="A820" s="1" t="s">
        <v>911</v>
      </c>
      <c r="B820" s="1" t="s">
        <v>14</v>
      </c>
      <c r="C820" s="1" t="s">
        <v>39</v>
      </c>
      <c r="D820" s="1">
        <v>6</v>
      </c>
      <c r="E820" s="1">
        <f t="shared" si="16"/>
        <v>12</v>
      </c>
      <c r="F820" s="7">
        <v>546200</v>
      </c>
      <c r="G820" s="5"/>
    </row>
    <row r="821" spans="1:7" ht="14.45">
      <c r="A821" s="1" t="s">
        <v>912</v>
      </c>
      <c r="B821" s="1" t="s">
        <v>28</v>
      </c>
      <c r="C821" s="1" t="s">
        <v>40</v>
      </c>
      <c r="D821" s="1">
        <v>8</v>
      </c>
      <c r="E821" s="1">
        <f t="shared" si="16"/>
        <v>16</v>
      </c>
      <c r="F821" s="7">
        <v>546000</v>
      </c>
      <c r="G821" s="5"/>
    </row>
    <row r="822" spans="1:7" ht="14.45">
      <c r="A822" s="1" t="s">
        <v>913</v>
      </c>
      <c r="B822" s="1" t="s">
        <v>31</v>
      </c>
      <c r="C822" s="1" t="s">
        <v>40</v>
      </c>
      <c r="D822" s="1">
        <v>5</v>
      </c>
      <c r="E822" s="1">
        <f t="shared" si="16"/>
        <v>10</v>
      </c>
      <c r="F822" s="7">
        <v>546000</v>
      </c>
      <c r="G822" s="5"/>
    </row>
    <row r="823" spans="1:7" ht="14.45">
      <c r="A823" s="1" t="s">
        <v>914</v>
      </c>
      <c r="B823" s="1" t="s">
        <v>33</v>
      </c>
      <c r="C823" s="1" t="s">
        <v>36</v>
      </c>
      <c r="D823" s="1">
        <v>4</v>
      </c>
      <c r="E823" s="1">
        <f t="shared" si="16"/>
        <v>8</v>
      </c>
      <c r="F823" s="7">
        <v>546000</v>
      </c>
      <c r="G823" s="5"/>
    </row>
    <row r="824" spans="1:7" ht="14.45">
      <c r="A824" s="1" t="s">
        <v>915</v>
      </c>
      <c r="B824" s="1" t="s">
        <v>31</v>
      </c>
      <c r="C824" s="1" t="s">
        <v>40</v>
      </c>
      <c r="D824" s="1">
        <v>5</v>
      </c>
      <c r="E824" s="1">
        <f t="shared" si="16"/>
        <v>10</v>
      </c>
      <c r="F824" s="7">
        <v>546000</v>
      </c>
      <c r="G824" s="5"/>
    </row>
    <row r="825" spans="1:7" ht="14.45">
      <c r="A825" s="1" t="s">
        <v>916</v>
      </c>
      <c r="B825" s="1" t="s">
        <v>10</v>
      </c>
      <c r="C825" s="1" t="s">
        <v>40</v>
      </c>
      <c r="D825" s="1">
        <v>5</v>
      </c>
      <c r="E825" s="1">
        <f t="shared" ref="E825:E858" si="17">D825*2</f>
        <v>10</v>
      </c>
      <c r="F825" s="7">
        <v>545800</v>
      </c>
      <c r="G825" s="5"/>
    </row>
    <row r="826" spans="1:7" ht="14.45">
      <c r="A826" s="1" t="s">
        <v>917</v>
      </c>
      <c r="B826" s="1" t="s">
        <v>28</v>
      </c>
      <c r="C826" s="1" t="s">
        <v>38</v>
      </c>
      <c r="D826" s="1">
        <v>6</v>
      </c>
      <c r="E826" s="1">
        <f t="shared" si="17"/>
        <v>12</v>
      </c>
      <c r="F826" s="7">
        <v>545700</v>
      </c>
      <c r="G826" s="5"/>
    </row>
    <row r="827" spans="1:7" ht="14.45">
      <c r="A827" s="1" t="s">
        <v>918</v>
      </c>
      <c r="B827" s="1" t="s">
        <v>28</v>
      </c>
      <c r="C827" s="1" t="s">
        <v>36</v>
      </c>
      <c r="D827" s="1">
        <v>2</v>
      </c>
      <c r="E827" s="1">
        <f t="shared" si="17"/>
        <v>4</v>
      </c>
      <c r="F827" s="7">
        <v>545700</v>
      </c>
      <c r="G827" s="5"/>
    </row>
    <row r="828" spans="1:7" ht="14.45">
      <c r="A828" s="1" t="s">
        <v>919</v>
      </c>
      <c r="B828" s="1" t="s">
        <v>21</v>
      </c>
      <c r="C828" s="1" t="s">
        <v>40</v>
      </c>
      <c r="D828" s="1">
        <v>2</v>
      </c>
      <c r="E828" s="1">
        <f t="shared" si="17"/>
        <v>4</v>
      </c>
      <c r="F828" s="7">
        <v>545650</v>
      </c>
      <c r="G828" s="5"/>
    </row>
    <row r="829" spans="1:7" ht="14.45">
      <c r="A829" s="1" t="s">
        <v>920</v>
      </c>
      <c r="B829" s="1" t="s">
        <v>29</v>
      </c>
      <c r="C829" s="1" t="s">
        <v>40</v>
      </c>
      <c r="D829" s="1">
        <v>2</v>
      </c>
      <c r="E829" s="1">
        <f t="shared" si="17"/>
        <v>4</v>
      </c>
      <c r="F829" s="7">
        <v>545600</v>
      </c>
      <c r="G829" s="5"/>
    </row>
    <row r="830" spans="1:7" ht="14.45">
      <c r="A830" s="1" t="s">
        <v>921</v>
      </c>
      <c r="B830" s="1" t="s">
        <v>30</v>
      </c>
      <c r="C830" s="1" t="s">
        <v>40</v>
      </c>
      <c r="D830" s="1">
        <v>1</v>
      </c>
      <c r="E830" s="1">
        <f t="shared" si="17"/>
        <v>2</v>
      </c>
      <c r="F830" s="7">
        <v>545600</v>
      </c>
      <c r="G830" s="5"/>
    </row>
    <row r="831" spans="1:7" ht="14.45">
      <c r="A831" s="1" t="s">
        <v>922</v>
      </c>
      <c r="B831" s="1" t="s">
        <v>24</v>
      </c>
      <c r="C831" s="1" t="s">
        <v>42</v>
      </c>
      <c r="D831" s="1">
        <v>2</v>
      </c>
      <c r="E831" s="1">
        <f t="shared" si="17"/>
        <v>4</v>
      </c>
      <c r="F831" s="7">
        <v>545500</v>
      </c>
      <c r="G831" s="5"/>
    </row>
    <row r="832" spans="1:7" ht="14.45">
      <c r="A832" s="1" t="s">
        <v>923</v>
      </c>
      <c r="B832" s="1" t="s">
        <v>27</v>
      </c>
      <c r="C832" s="1" t="s">
        <v>40</v>
      </c>
      <c r="D832" s="1">
        <v>2</v>
      </c>
      <c r="E832" s="1">
        <f t="shared" si="17"/>
        <v>4</v>
      </c>
      <c r="F832" s="7">
        <v>545500</v>
      </c>
      <c r="G832" s="5"/>
    </row>
    <row r="833" spans="1:7" ht="14.45">
      <c r="A833" s="1" t="s">
        <v>924</v>
      </c>
      <c r="B833" s="1" t="s">
        <v>24</v>
      </c>
      <c r="C833" s="1" t="s">
        <v>40</v>
      </c>
      <c r="D833" s="1">
        <v>2</v>
      </c>
      <c r="E833" s="1">
        <f t="shared" si="17"/>
        <v>4</v>
      </c>
      <c r="F833" s="7">
        <v>545500</v>
      </c>
      <c r="G833" s="5"/>
    </row>
    <row r="834" spans="1:7" ht="14.45">
      <c r="A834" s="1" t="s">
        <v>925</v>
      </c>
      <c r="B834" s="1" t="s">
        <v>32</v>
      </c>
      <c r="C834" s="1" t="s">
        <v>39</v>
      </c>
      <c r="D834" s="1">
        <v>2</v>
      </c>
      <c r="E834" s="1">
        <f t="shared" si="17"/>
        <v>4</v>
      </c>
      <c r="F834" s="7">
        <v>545400</v>
      </c>
      <c r="G834" s="5"/>
    </row>
    <row r="835" spans="1:7" ht="14.45">
      <c r="A835" s="1" t="s">
        <v>926</v>
      </c>
      <c r="B835" s="1" t="s">
        <v>26</v>
      </c>
      <c r="C835" s="1" t="s">
        <v>40</v>
      </c>
      <c r="D835" s="1">
        <v>2</v>
      </c>
      <c r="E835" s="1">
        <f t="shared" si="17"/>
        <v>4</v>
      </c>
      <c r="F835" s="7">
        <v>545000</v>
      </c>
      <c r="G835" s="5"/>
    </row>
    <row r="836" spans="1:7" ht="14.45">
      <c r="A836" s="1" t="s">
        <v>927</v>
      </c>
      <c r="B836" s="1" t="s">
        <v>6</v>
      </c>
      <c r="C836" s="1" t="s">
        <v>40</v>
      </c>
      <c r="D836" s="1">
        <v>2</v>
      </c>
      <c r="E836" s="1">
        <f t="shared" si="17"/>
        <v>4</v>
      </c>
      <c r="F836" s="7">
        <v>545000</v>
      </c>
      <c r="G836" s="5"/>
    </row>
    <row r="837" spans="1:7" ht="14.45">
      <c r="A837" s="1" t="s">
        <v>928</v>
      </c>
      <c r="B837" s="1" t="s">
        <v>14</v>
      </c>
      <c r="C837" s="1" t="s">
        <v>40</v>
      </c>
      <c r="D837" s="1">
        <v>3</v>
      </c>
      <c r="E837" s="1">
        <f t="shared" si="17"/>
        <v>6</v>
      </c>
      <c r="F837" s="7">
        <v>545000</v>
      </c>
      <c r="G837" s="5"/>
    </row>
    <row r="838" spans="1:7" ht="14.45">
      <c r="A838" s="1" t="s">
        <v>929</v>
      </c>
      <c r="B838" s="1" t="s">
        <v>13</v>
      </c>
      <c r="C838" s="1" t="s">
        <v>40</v>
      </c>
      <c r="D838" s="1">
        <v>1</v>
      </c>
      <c r="E838" s="1">
        <f t="shared" si="17"/>
        <v>2</v>
      </c>
      <c r="F838" s="7">
        <v>545000</v>
      </c>
      <c r="G838" s="5"/>
    </row>
    <row r="839" spans="1:7" ht="14.45">
      <c r="A839" s="1" t="s">
        <v>930</v>
      </c>
      <c r="B839" s="1" t="s">
        <v>18</v>
      </c>
      <c r="C839" s="1" t="s">
        <v>43</v>
      </c>
      <c r="D839" s="1">
        <v>2</v>
      </c>
      <c r="E839" s="1">
        <f t="shared" si="17"/>
        <v>4</v>
      </c>
      <c r="F839" s="7">
        <v>545000</v>
      </c>
      <c r="G839" s="5"/>
    </row>
    <row r="840" spans="1:7" ht="14.45">
      <c r="A840" s="1" t="s">
        <v>931</v>
      </c>
      <c r="B840" s="1" t="s">
        <v>31</v>
      </c>
      <c r="C840" s="1" t="s">
        <v>39</v>
      </c>
      <c r="D840" s="1">
        <v>5</v>
      </c>
      <c r="E840" s="1">
        <f t="shared" si="17"/>
        <v>10</v>
      </c>
      <c r="F840" s="7">
        <v>545000</v>
      </c>
      <c r="G840" s="5"/>
    </row>
    <row r="841" spans="1:7" ht="14.45">
      <c r="A841" s="1" t="s">
        <v>932</v>
      </c>
      <c r="B841" s="1" t="s">
        <v>18</v>
      </c>
      <c r="C841" s="1" t="s">
        <v>36</v>
      </c>
      <c r="D841" s="1">
        <v>4</v>
      </c>
      <c r="E841" s="1">
        <f t="shared" si="17"/>
        <v>8</v>
      </c>
      <c r="F841" s="7">
        <v>545000</v>
      </c>
      <c r="G841" s="5"/>
    </row>
    <row r="842" spans="1:7" ht="14.45">
      <c r="A842" s="1" t="s">
        <v>933</v>
      </c>
      <c r="B842" s="1" t="s">
        <v>10</v>
      </c>
      <c r="C842" s="1" t="s">
        <v>40</v>
      </c>
      <c r="D842" s="1">
        <v>6</v>
      </c>
      <c r="E842" s="1">
        <f t="shared" si="17"/>
        <v>12</v>
      </c>
      <c r="F842" s="7">
        <v>545000</v>
      </c>
      <c r="G842" s="5"/>
    </row>
    <row r="843" spans="1:7" ht="14.45">
      <c r="A843" s="1" t="s">
        <v>934</v>
      </c>
      <c r="B843" s="1" t="s">
        <v>13</v>
      </c>
      <c r="C843" s="1" t="s">
        <v>40</v>
      </c>
      <c r="D843" s="1">
        <v>4</v>
      </c>
      <c r="E843" s="1">
        <f t="shared" si="17"/>
        <v>8</v>
      </c>
      <c r="F843" s="7">
        <v>545000</v>
      </c>
      <c r="G843" s="5"/>
    </row>
    <row r="844" spans="1:7" ht="14.45">
      <c r="A844" s="1" t="s">
        <v>935</v>
      </c>
      <c r="B844" s="1" t="s">
        <v>20</v>
      </c>
      <c r="C844" s="1" t="s">
        <v>40</v>
      </c>
      <c r="D844" s="1">
        <v>5</v>
      </c>
      <c r="E844" s="1">
        <f t="shared" si="17"/>
        <v>10</v>
      </c>
      <c r="F844" s="7">
        <v>545000</v>
      </c>
      <c r="G844" s="5"/>
    </row>
    <row r="845" spans="1:7" ht="14.45">
      <c r="A845" s="1" t="s">
        <v>936</v>
      </c>
      <c r="B845" s="1" t="s">
        <v>18</v>
      </c>
      <c r="C845" s="1" t="s">
        <v>38</v>
      </c>
      <c r="D845" s="1">
        <v>6</v>
      </c>
      <c r="E845" s="1">
        <f t="shared" si="17"/>
        <v>12</v>
      </c>
      <c r="F845" s="7">
        <v>545000</v>
      </c>
      <c r="G845" s="5"/>
    </row>
    <row r="846" spans="1:7" ht="14.45">
      <c r="A846" s="1" t="s">
        <v>937</v>
      </c>
      <c r="B846" s="1" t="s">
        <v>29</v>
      </c>
      <c r="C846" s="1" t="s">
        <v>40</v>
      </c>
      <c r="D846" s="1">
        <v>4</v>
      </c>
      <c r="E846" s="1">
        <f t="shared" si="17"/>
        <v>8</v>
      </c>
      <c r="F846" s="7">
        <v>545000</v>
      </c>
      <c r="G846" s="5"/>
    </row>
    <row r="847" spans="1:7" ht="14.45">
      <c r="A847" s="1" t="s">
        <v>938</v>
      </c>
      <c r="B847" s="1" t="s">
        <v>9</v>
      </c>
      <c r="C847" s="1" t="s">
        <v>40</v>
      </c>
      <c r="D847" s="1">
        <v>5</v>
      </c>
      <c r="E847" s="1">
        <f t="shared" si="17"/>
        <v>10</v>
      </c>
      <c r="F847" s="7">
        <v>545000</v>
      </c>
      <c r="G847" s="5"/>
    </row>
    <row r="848" spans="1:7" ht="14.45">
      <c r="A848" s="1" t="s">
        <v>939</v>
      </c>
      <c r="B848" s="1" t="s">
        <v>9</v>
      </c>
      <c r="C848" s="1" t="s">
        <v>39</v>
      </c>
      <c r="D848" s="1">
        <v>8</v>
      </c>
      <c r="E848" s="1">
        <f t="shared" si="17"/>
        <v>16</v>
      </c>
      <c r="F848" s="7">
        <v>545000</v>
      </c>
      <c r="G848" s="5"/>
    </row>
    <row r="849" spans="1:7" ht="14.45">
      <c r="A849" s="1" t="s">
        <v>940</v>
      </c>
      <c r="B849" s="1" t="s">
        <v>31</v>
      </c>
      <c r="C849" s="1" t="s">
        <v>40</v>
      </c>
      <c r="D849" s="1">
        <v>4</v>
      </c>
      <c r="E849" s="1">
        <f t="shared" si="17"/>
        <v>8</v>
      </c>
      <c r="F849" s="7">
        <v>545000</v>
      </c>
      <c r="G849" s="5"/>
    </row>
    <row r="850" spans="1:7" ht="14.45">
      <c r="A850" s="1" t="s">
        <v>941</v>
      </c>
      <c r="B850" s="1" t="s">
        <v>29</v>
      </c>
      <c r="C850" s="1" t="s">
        <v>40</v>
      </c>
      <c r="D850" s="1">
        <v>6</v>
      </c>
      <c r="E850" s="1">
        <f t="shared" si="17"/>
        <v>12</v>
      </c>
      <c r="F850" s="7">
        <v>545000</v>
      </c>
      <c r="G850" s="5"/>
    </row>
    <row r="851" spans="1:7" ht="14.45">
      <c r="A851" s="1" t="s">
        <v>942</v>
      </c>
      <c r="B851" s="1" t="s">
        <v>18</v>
      </c>
      <c r="C851" s="1" t="s">
        <v>42</v>
      </c>
      <c r="D851" s="1">
        <v>1</v>
      </c>
      <c r="E851" s="1">
        <f t="shared" si="17"/>
        <v>2</v>
      </c>
      <c r="F851" s="7">
        <v>545000</v>
      </c>
      <c r="G851" s="5"/>
    </row>
    <row r="852" spans="1:7" ht="14.45">
      <c r="A852" s="1" t="s">
        <v>943</v>
      </c>
      <c r="B852" s="1" t="s">
        <v>27</v>
      </c>
      <c r="C852" s="1" t="s">
        <v>40</v>
      </c>
      <c r="D852" s="1">
        <v>7</v>
      </c>
      <c r="E852" s="1">
        <f t="shared" si="17"/>
        <v>14</v>
      </c>
      <c r="F852" s="7">
        <v>545000</v>
      </c>
      <c r="G852" s="5"/>
    </row>
    <row r="853" spans="1:7" ht="14.45">
      <c r="A853" s="1" t="s">
        <v>944</v>
      </c>
      <c r="B853" s="1" t="s">
        <v>9</v>
      </c>
      <c r="C853" s="1" t="s">
        <v>40</v>
      </c>
      <c r="D853" s="1">
        <v>8</v>
      </c>
      <c r="E853" s="1">
        <f t="shared" si="17"/>
        <v>16</v>
      </c>
      <c r="F853" s="7">
        <v>545000</v>
      </c>
      <c r="G853" s="5"/>
    </row>
    <row r="854" spans="1:7" ht="14.45">
      <c r="A854" s="1" t="s">
        <v>945</v>
      </c>
      <c r="B854" s="1" t="s">
        <v>18</v>
      </c>
      <c r="C854" s="1" t="s">
        <v>39</v>
      </c>
      <c r="D854" s="1">
        <v>8</v>
      </c>
      <c r="E854" s="1">
        <f t="shared" si="17"/>
        <v>16</v>
      </c>
      <c r="F854" s="7">
        <v>545000</v>
      </c>
      <c r="G854" s="5"/>
    </row>
    <row r="855" spans="1:7" ht="14.45">
      <c r="A855" s="1" t="s">
        <v>946</v>
      </c>
      <c r="B855" s="1" t="s">
        <v>15</v>
      </c>
      <c r="C855" s="1" t="s">
        <v>40</v>
      </c>
      <c r="D855" s="1">
        <v>11</v>
      </c>
      <c r="E855" s="1">
        <f t="shared" si="17"/>
        <v>22</v>
      </c>
      <c r="F855" s="7">
        <v>545000</v>
      </c>
      <c r="G855" s="5"/>
    </row>
    <row r="856" spans="1:7" ht="14.45">
      <c r="A856" s="1" t="s">
        <v>947</v>
      </c>
      <c r="B856" s="1" t="s">
        <v>6</v>
      </c>
      <c r="C856" s="1" t="s">
        <v>40</v>
      </c>
      <c r="D856" s="1">
        <v>2</v>
      </c>
      <c r="E856" s="1">
        <f t="shared" si="17"/>
        <v>4</v>
      </c>
      <c r="F856" s="7">
        <v>545000</v>
      </c>
      <c r="G856" s="5"/>
    </row>
    <row r="857" spans="1:7" ht="14.45">
      <c r="A857" s="1" t="s">
        <v>948</v>
      </c>
      <c r="B857" s="1" t="s">
        <v>29</v>
      </c>
      <c r="C857" s="1" t="s">
        <v>40</v>
      </c>
      <c r="D857" s="1">
        <v>5</v>
      </c>
      <c r="E857" s="1">
        <f t="shared" si="17"/>
        <v>10</v>
      </c>
      <c r="F857" s="7">
        <v>545000</v>
      </c>
      <c r="G857" s="5"/>
    </row>
    <row r="858" spans="1:7" ht="14.45">
      <c r="A858" s="1" t="s">
        <v>949</v>
      </c>
      <c r="B858" s="1" t="s">
        <v>5</v>
      </c>
      <c r="C858" s="1" t="s">
        <v>40</v>
      </c>
      <c r="D858" s="1">
        <v>6</v>
      </c>
      <c r="E858" s="1">
        <f t="shared" si="17"/>
        <v>12</v>
      </c>
      <c r="F858" s="7">
        <v>545000</v>
      </c>
      <c r="G858" s="5"/>
    </row>
    <row r="859" spans="1:7" ht="14.45">
      <c r="A859" s="1" t="s">
        <v>950</v>
      </c>
      <c r="B859" s="1" t="s">
        <v>25</v>
      </c>
      <c r="C859" s="1" t="s">
        <v>40</v>
      </c>
      <c r="D859" s="1">
        <v>8</v>
      </c>
      <c r="E859" s="1">
        <v>13</v>
      </c>
      <c r="F859" s="7">
        <v>545000</v>
      </c>
      <c r="G859" s="5"/>
    </row>
    <row r="860" spans="1:7" ht="14.45">
      <c r="A860" s="1" t="s">
        <v>951</v>
      </c>
      <c r="B860" s="1" t="s">
        <v>25</v>
      </c>
      <c r="C860" s="1" t="s">
        <v>40</v>
      </c>
      <c r="D860" s="1">
        <v>4</v>
      </c>
      <c r="E860" s="1">
        <f>D860*2</f>
        <v>8</v>
      </c>
      <c r="F860" s="7">
        <v>545000</v>
      </c>
      <c r="G860" s="5"/>
    </row>
    <row r="861" spans="1:7" ht="14.45">
      <c r="A861" s="1" t="s">
        <v>952</v>
      </c>
      <c r="B861" s="1" t="s">
        <v>5</v>
      </c>
      <c r="C861" s="1" t="s">
        <v>40</v>
      </c>
      <c r="D861" s="1">
        <v>8</v>
      </c>
      <c r="E861" s="1">
        <v>13</v>
      </c>
      <c r="F861" s="7">
        <v>545000</v>
      </c>
      <c r="G861" s="5"/>
    </row>
    <row r="862" spans="1:7" ht="14.45">
      <c r="A862" s="1" t="s">
        <v>953</v>
      </c>
      <c r="B862" s="1" t="s">
        <v>9</v>
      </c>
      <c r="C862" s="1" t="s">
        <v>39</v>
      </c>
      <c r="D862" s="1">
        <v>4</v>
      </c>
      <c r="E862" s="1">
        <f>D862*2</f>
        <v>8</v>
      </c>
      <c r="F862" s="7">
        <v>545000</v>
      </c>
      <c r="G862" s="5"/>
    </row>
    <row r="863" spans="1:7" ht="14.45">
      <c r="A863" s="1" t="s">
        <v>954</v>
      </c>
      <c r="B863" s="1" t="s">
        <v>27</v>
      </c>
      <c r="C863" s="1" t="s">
        <v>40</v>
      </c>
      <c r="D863" s="1">
        <v>4</v>
      </c>
      <c r="E863" s="1">
        <f>D863*2</f>
        <v>8</v>
      </c>
      <c r="F863" s="7">
        <v>545000</v>
      </c>
      <c r="G863" s="5"/>
    </row>
    <row r="864" spans="1:7" ht="14.45">
      <c r="A864" s="1" t="s">
        <v>955</v>
      </c>
      <c r="B864" s="1" t="s">
        <v>11</v>
      </c>
      <c r="C864" s="1" t="s">
        <v>40</v>
      </c>
      <c r="D864" s="1">
        <v>11</v>
      </c>
      <c r="E864" s="1">
        <v>13</v>
      </c>
      <c r="F864" s="7">
        <v>545000</v>
      </c>
      <c r="G864" s="5"/>
    </row>
    <row r="865" spans="1:7" ht="14.45">
      <c r="A865" s="1" t="s">
        <v>956</v>
      </c>
      <c r="B865" s="1" t="s">
        <v>23</v>
      </c>
      <c r="C865" s="1" t="s">
        <v>39</v>
      </c>
      <c r="D865" s="1">
        <v>5</v>
      </c>
      <c r="E865" s="1">
        <f>D865*2</f>
        <v>10</v>
      </c>
      <c r="F865" s="7">
        <v>545000</v>
      </c>
      <c r="G865" s="5"/>
    </row>
    <row r="866" spans="1:7" ht="14.45">
      <c r="A866" s="1" t="s">
        <v>957</v>
      </c>
      <c r="B866" s="1" t="s">
        <v>9</v>
      </c>
      <c r="C866" s="1" t="s">
        <v>40</v>
      </c>
      <c r="D866" s="1">
        <v>2</v>
      </c>
      <c r="E866" s="1">
        <f>D866*2</f>
        <v>4</v>
      </c>
      <c r="F866" s="7">
        <v>545000</v>
      </c>
      <c r="G866" s="5"/>
    </row>
    <row r="867" spans="1:7" ht="14.45">
      <c r="A867" s="1" t="s">
        <v>958</v>
      </c>
      <c r="B867" s="1" t="s">
        <v>30</v>
      </c>
      <c r="C867" s="1" t="s">
        <v>40</v>
      </c>
      <c r="D867" s="1">
        <v>6</v>
      </c>
      <c r="E867" s="1">
        <v>10</v>
      </c>
      <c r="F867" s="7">
        <v>545000</v>
      </c>
      <c r="G867" s="5"/>
    </row>
    <row r="868" spans="1:7" ht="14.45">
      <c r="A868" s="1" t="s">
        <v>959</v>
      </c>
      <c r="B868" s="1" t="s">
        <v>9</v>
      </c>
      <c r="C868" s="1" t="s">
        <v>40</v>
      </c>
      <c r="D868" s="1">
        <v>3</v>
      </c>
      <c r="E868" s="1">
        <f>D868*2</f>
        <v>6</v>
      </c>
      <c r="F868" s="7">
        <v>545000</v>
      </c>
      <c r="G868" s="5"/>
    </row>
    <row r="869" spans="1:7" ht="14.45">
      <c r="A869" s="1" t="s">
        <v>960</v>
      </c>
      <c r="B869" s="1" t="s">
        <v>18</v>
      </c>
      <c r="C869" s="1" t="s">
        <v>40</v>
      </c>
      <c r="D869" s="1">
        <v>4</v>
      </c>
      <c r="E869" s="1">
        <f>D869*2</f>
        <v>8</v>
      </c>
      <c r="F869" s="7">
        <v>545000</v>
      </c>
      <c r="G869" s="5"/>
    </row>
    <row r="870" spans="1:7" ht="14.45">
      <c r="A870" s="1" t="s">
        <v>961</v>
      </c>
      <c r="B870" s="1" t="s">
        <v>32</v>
      </c>
      <c r="C870" s="1" t="s">
        <v>40</v>
      </c>
      <c r="D870" s="1">
        <v>2</v>
      </c>
      <c r="E870" s="1">
        <f>D870*2</f>
        <v>4</v>
      </c>
      <c r="F870" s="7">
        <v>545000</v>
      </c>
      <c r="G870" s="5"/>
    </row>
    <row r="871" spans="1:7" ht="14.45">
      <c r="A871" s="1" t="s">
        <v>962</v>
      </c>
      <c r="B871" s="1" t="s">
        <v>14</v>
      </c>
      <c r="C871" s="1" t="s">
        <v>40</v>
      </c>
      <c r="D871" s="1">
        <v>8</v>
      </c>
      <c r="E871" s="1">
        <v>11</v>
      </c>
      <c r="F871" s="7">
        <v>545000</v>
      </c>
      <c r="G871" s="5"/>
    </row>
    <row r="872" spans="1:7" ht="14.45">
      <c r="A872" s="1" t="s">
        <v>963</v>
      </c>
      <c r="B872" s="1" t="s">
        <v>18</v>
      </c>
      <c r="C872" s="1" t="s">
        <v>36</v>
      </c>
      <c r="D872" s="1">
        <v>5</v>
      </c>
      <c r="E872" s="1">
        <f>D872*2</f>
        <v>10</v>
      </c>
      <c r="F872" s="7">
        <v>545000</v>
      </c>
      <c r="G872" s="5"/>
    </row>
    <row r="873" spans="1:7" ht="14.45">
      <c r="A873" s="1" t="s">
        <v>964</v>
      </c>
      <c r="B873" s="1" t="s">
        <v>20</v>
      </c>
      <c r="C873" s="1" t="s">
        <v>40</v>
      </c>
      <c r="D873" s="1">
        <v>4</v>
      </c>
      <c r="E873" s="1">
        <f>D873*2</f>
        <v>8</v>
      </c>
      <c r="F873" s="7">
        <v>545000</v>
      </c>
      <c r="G873" s="5"/>
    </row>
    <row r="874" spans="1:7" ht="14.45">
      <c r="A874" s="1" t="s">
        <v>965</v>
      </c>
      <c r="B874" s="1" t="s">
        <v>9</v>
      </c>
      <c r="C874" s="1" t="s">
        <v>40</v>
      </c>
      <c r="D874" s="1">
        <v>5</v>
      </c>
      <c r="E874" s="1">
        <v>9</v>
      </c>
      <c r="F874" s="7">
        <v>545000</v>
      </c>
      <c r="G874" s="5"/>
    </row>
    <row r="875" spans="1:7" ht="14.45">
      <c r="A875" s="1" t="s">
        <v>966</v>
      </c>
      <c r="B875" s="1" t="s">
        <v>12</v>
      </c>
      <c r="C875" s="1" t="s">
        <v>39</v>
      </c>
      <c r="D875" s="1">
        <v>8</v>
      </c>
      <c r="E875" s="1">
        <v>12</v>
      </c>
      <c r="F875" s="7">
        <v>545000</v>
      </c>
      <c r="G875" s="5"/>
    </row>
    <row r="876" spans="1:7" ht="14.45">
      <c r="A876" s="1" t="s">
        <v>967</v>
      </c>
      <c r="B876" s="1" t="s">
        <v>29</v>
      </c>
      <c r="C876" s="1" t="s">
        <v>42</v>
      </c>
      <c r="D876" s="1">
        <v>8</v>
      </c>
      <c r="E876" s="1">
        <v>11</v>
      </c>
      <c r="F876" s="7">
        <v>545000</v>
      </c>
      <c r="G876" s="5"/>
    </row>
    <row r="877" spans="1:7" ht="14.45">
      <c r="A877" s="1" t="s">
        <v>968</v>
      </c>
      <c r="B877" s="1" t="s">
        <v>30</v>
      </c>
      <c r="C877" s="1" t="s">
        <v>40</v>
      </c>
      <c r="D877" s="1">
        <v>8</v>
      </c>
      <c r="E877" s="1">
        <v>12</v>
      </c>
      <c r="F877" s="7">
        <v>545000</v>
      </c>
      <c r="G877" s="5"/>
    </row>
    <row r="878" spans="1:7" ht="14.45">
      <c r="A878" s="1" t="s">
        <v>969</v>
      </c>
      <c r="B878" s="1" t="s">
        <v>9</v>
      </c>
      <c r="C878" s="1" t="s">
        <v>40</v>
      </c>
      <c r="D878" s="1">
        <v>7</v>
      </c>
      <c r="E878" s="1">
        <v>11</v>
      </c>
      <c r="F878" s="7">
        <v>545000</v>
      </c>
      <c r="G878" s="5"/>
    </row>
  </sheetData>
  <mergeCells count="8">
    <mergeCell ref="I18:J19"/>
    <mergeCell ref="I24:J24"/>
    <mergeCell ref="I25:J26"/>
    <mergeCell ref="I2:J2"/>
    <mergeCell ref="I3:J4"/>
    <mergeCell ref="I10:J10"/>
    <mergeCell ref="I11:J12"/>
    <mergeCell ref="I17:J17"/>
  </mergeCells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A801DC93-0515-49DF-BBE5-A98487E39BBE}">
          <xm:f>Salaries_2023!D1:E878</xm:f>
        </x15:webExtension>
        <x15:webExtension appRef="{A097F836-AA70-44F0-8978-BB1F5CA67053}">
          <xm:f>Salaries_2023!F1:F878</xm:f>
        </x15:webExtension>
        <x15:webExtension appRef="{46BF83CC-3D50-4C3B-97A7-42D8C745CABB}">
          <xm:f>Salaries_2023!$N$2:$W$20</xm:f>
        </x15:webExtension>
        <x15:webExtension appRef="{6061BDF7-796E-40DE-9663-B5783994AFAD}">
          <xm:f>Salaries_2023!1:1048576</xm:f>
        </x15:webExtension>
        <x15:webExtension appRef="{6061BDF7-796E-40DE-9663-B5783994AFAD}">
          <xm:f>Salaries_2023!1:1048576</xm:f>
        </x15:webExtension>
        <x15:webExtension appRef="{6061BDF7-796E-40DE-9663-B5783994AFAD}">
          <xm:f>Salaries_2023!1:1048576</xm:f>
        </x15:webExtension>
        <x15:webExtension appRef="{7E7F1792-943E-4325-8963-1D4EAD185DE9}">
          <xm:f>Salaries_2023!D1:E878</xm:f>
        </x15:webExtension>
        <x15:webExtension appRef="{E72C896F-741A-4E71-A802-6D5F730D69F9}">
          <xm:f>Salaries_2023!F1:F878</xm:f>
        </x15:webExtension>
        <x15:webExtension appRef="{B1A89C1C-F657-46F7-9280-1ED27DA0FDC0}">
          <xm:f>Salaries_2023!$N$2:$W$20</xm:f>
        </x15:webExtension>
        <x15:webExtension appRef="{6061BDF7-796E-40DE-9663-B5783994AFAD}">
          <xm:f>Salaries_2023!1:1048576</xm:f>
        </x15:webExtension>
        <x15:webExtension appRef="{7E7F1792-943E-4325-8963-1D4EAD185DE9}">
          <xm:f>Salaries_2023!D1:E878</xm:f>
        </x15:webExtension>
        <x15:webExtension appRef="{E72C896F-741A-4E71-A802-6D5F730D69F9}">
          <xm:f>Salaries_2023!F1:F878</xm:f>
        </x15:webExtension>
        <x15:webExtension appRef="{B1A89C1C-F657-46F7-9280-1ED27DA0FDC0}">
          <xm:f>Salaries_2023!$N$2:$W$20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Patil</dc:creator>
  <cp:keywords/>
  <dc:description/>
  <cp:lastModifiedBy/>
  <cp:revision/>
  <dcterms:created xsi:type="dcterms:W3CDTF">2023-11-27T10:17:03Z</dcterms:created>
  <dcterms:modified xsi:type="dcterms:W3CDTF">2026-01-30T20:37:07Z</dcterms:modified>
  <cp:category/>
  <cp:contentStatus/>
</cp:coreProperties>
</file>